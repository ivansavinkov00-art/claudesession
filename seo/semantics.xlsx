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Семантическое ядро" sheetId="2" state="visible" r:id="rId4"/>
    <sheet name="Кластеры и страницы" sheetId="3" state="visible" r:id="rId5"/>
    <sheet name="Страницы SEO" sheetId="4" state="visible" r:id="rId6"/>
    <sheet name="Семантическая карта" sheetId="5" state="visible" r:id="rId7"/>
    <sheet name="Минус-слова" sheetId="6" state="visible" r:id="rId8"/>
    <sheet name="Кросс-минусовка" sheetId="7" state="visible" r:id="rId9"/>
    <sheet name="Сезонность" sheetId="8" state="visible" r:id="rId10"/>
    <sheet name="Вопросы клиенту" sheetId="9" state="visible" r:id="rId11"/>
    <sheet name="Отсеяно минус-словами" sheetId="10" state="visible" r:id="rId12"/>
    <sheet name="Не по теме" sheetId="11" state="visible" r:id="rId13"/>
  </sheets>
  <definedNames>
    <definedName function="false" hidden="true" localSheetId="1" name="_xlnm._FilterDatabase" vbProcedure="false">'Семантическое ядро'!$A$1:$O$840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<sst xmlns="http://schemas.openxmlformats.org/spreadsheetml/2006/main" count="9710" uniqueCount="2847">
  <si>
    <t xml:space="preserve">Культура шитья: семантическое ядро, Челябинск</t>
  </si>
  <si>
    <t xml:space="preserve">Собрано 2026-10-09. Частоты: Яндекс Вордстат (Search API), последние 30 дней, все устройства. Регион: Челябинская область (11225).</t>
  </si>
  <si>
    <t xml:space="preserve">Показатель</t>
  </si>
  <si>
    <t xml:space="preserve">Значение</t>
  </si>
  <si>
    <t xml:space="preserve">Пояснение</t>
  </si>
  <si>
    <t xml:space="preserve">Фраз в ядре, всего</t>
  </si>
  <si>
    <t xml:space="preserve">Базовые фразы (мои маски) плюс запросы, найденные в Вордстате по маскам («Популярные» и «Похожие»)</t>
  </si>
  <si>
    <t xml:space="preserve">из них базовые</t>
  </si>
  <si>
    <t xml:space="preserve">Составлены перемножением: действие × объект × условия × для кого, плюс сопутствующие услуги и нецелевые для проверки минусов</t>
  </si>
  <si>
    <t xml:space="preserve">из них найдены в Вордстате</t>
  </si>
  <si>
    <t xml:space="preserve">Реальные запросы людей, которые я не придумывал. Очищены минус-словами и от дублей</t>
  </si>
  <si>
    <t xml:space="preserve">С замером по Челябинской области</t>
  </si>
  <si>
    <t xml:space="preserve">Точная частота в регионе. У остальных есть только широкая частота по России или области</t>
  </si>
  <si>
    <t xml:space="preserve">Фразы приоритета A</t>
  </si>
  <si>
    <t xml:space="preserve">Коммерческие и сопутствующие: ≥10 запросов в мес. в области или ≥300 по России. На старт рекламы и в тексты страниц</t>
  </si>
  <si>
    <t xml:space="preserve">Сумма точных частот, Челябинская обл. (мес.)</t>
  </si>
  <si>
    <t xml:space="preserve">Только точные частоты: они не пересекаются, и их можно складывать</t>
  </si>
  <si>
    <t xml:space="preserve">Отсеяно минус-словами (запросов)</t>
  </si>
  <si>
    <t xml:space="preserve">Нецелевые запросы с широкой частотой по России ≥100, лист «Отсеяно минус-словами»</t>
  </si>
  <si>
    <t xml:space="preserve">Как собрано (методика Яндекс Директа и Вордстата)</t>
  </si>
  <si>
    <t xml:space="preserve">1. Вопросы до сбора</t>
  </si>
  <si>
    <t xml:space="preserve">Что продвигаем (пошив партий для брендов и селлеров), что нет (единичные заказы физлиц), как называют клиенты (пошив, цех, производство, давальческое сырьё)</t>
  </si>
  <si>
    <t xml:space="preserve">2. Маски</t>
  </si>
  <si>
    <t xml:space="preserve">82 маски: от коротких общих к уточнённым, по России и по Челябинской области</t>
  </si>
  <si>
    <t xml:space="preserve">3. Парсинг Вордстата</t>
  </si>
  <si>
    <t xml:space="preserve">По каждой маске «Популярные» и «Похожие» запросы, до 300 штук</t>
  </si>
  <si>
    <t xml:space="preserve">4. Чистка</t>
  </si>
  <si>
    <t xml:space="preserve">Минус-слова, объединение дублей по основам слов, отсев запросов длиннее 5 слов</t>
  </si>
  <si>
    <t xml:space="preserve">5. Замер региона</t>
  </si>
  <si>
    <t xml:space="preserve">Широкая и точная частота по Челябинской области для базовых и отобранных запросов</t>
  </si>
  <si>
    <t xml:space="preserve">6. Кластеры</t>
  </si>
  <si>
    <t xml:space="preserve">Каждый запрос на одну страницу сайта, правила в листе «Кластеры и страницы»</t>
  </si>
  <si>
    <t xml:space="preserve">7. Минус-слова и кросс-минусовка</t>
  </si>
  <si>
    <t xml:space="preserve">Общие минусы и минусы для широких фраз, чтобы показ шёл по самой точной группе</t>
  </si>
  <si>
    <t xml:space="preserve">Что учитывают Яндекс и Google</t>
  </si>
  <si>
    <t xml:space="preserve">Одна страница на один кластер</t>
  </si>
  <si>
    <t xml:space="preserve">Не две страницы под один запрос: листы «Кластеры и страницы», «Страницы SEO»</t>
  </si>
  <si>
    <t xml:space="preserve">Уникальные Title, Description, H1</t>
  </si>
  <si>
    <t xml:space="preserve">Черновики с проверкой длины в листе «Страницы SEO»</t>
  </si>
  <si>
    <t xml:space="preserve">Регион</t>
  </si>
  <si>
    <t xml:space="preserve">Челябинск в Яндекс Бизнесе и Вордстате; для Google профиль компании. Это настройки у клиента, не часть этого файла</t>
  </si>
  <si>
    <t xml:space="preserve">Данные Google</t>
  </si>
  <si>
    <t xml:space="preserve">Не собраны: объёмы Google Keyword Planner требуют рекламного аккаунта Google Ads. Кластеры и страницы подходят и для Google, цифры частот только Яндекса</t>
  </si>
  <si>
    <t xml:space="preserve">Классы частотности (курс, 30 дней)</t>
  </si>
  <si>
    <t xml:space="preserve">ультра-НЧ: меньше 10</t>
  </si>
  <si>
    <t xml:space="preserve">Почти нет трафика</t>
  </si>
  <si>
    <t xml:space="preserve">НЧ: 10–100</t>
  </si>
  <si>
    <t xml:space="preserve">Мало трафика</t>
  </si>
  <si>
    <t xml:space="preserve">СЧ: 100–1 000</t>
  </si>
  <si>
    <t xml:space="preserve">Основа перфоманса, отсюда конверсии</t>
  </si>
  <si>
    <t xml:space="preserve">ВЧ: больше 1 000</t>
  </si>
  <si>
    <t xml:space="preserve">Часто без готовности купить, подключать позже</t>
  </si>
  <si>
    <t xml:space="preserve">Листы</t>
  </si>
  <si>
    <t xml:space="preserve">Семантическое ядро</t>
  </si>
  <si>
    <t xml:space="preserve">Все фразы, частоты, класс, приоритет, готовая фраза для Директа</t>
  </si>
  <si>
    <t xml:space="preserve">Кластеры и страницы</t>
  </si>
  <si>
    <t xml:space="preserve">Кластер → страница, суммы частот, H1</t>
  </si>
  <si>
    <t xml:space="preserve">Страницы SEO</t>
  </si>
  <si>
    <t xml:space="preserve">URL, Title, Description с проверкой длины</t>
  </si>
  <si>
    <t xml:space="preserve">Семантическая карта</t>
  </si>
  <si>
    <t xml:space="preserve">Ветки: объект, действие, условия, для кого, где, услуги</t>
  </si>
  <si>
    <t xml:space="preserve">Минус-слова</t>
  </si>
  <si>
    <t xml:space="preserve">Общий список минусов и строка для вставки</t>
  </si>
  <si>
    <t xml:space="preserve">Кросс-минусовка</t>
  </si>
  <si>
    <t xml:space="preserve">Какие минус-слова добавить широким фразам</t>
  </si>
  <si>
    <t xml:space="preserve">Отсеяно минус-словами</t>
  </si>
  <si>
    <t xml:space="preserve">Какие реальные запросы отрезали минус-словами</t>
  </si>
  <si>
    <t xml:space="preserve">Не по теме</t>
  </si>
  <si>
    <t xml:space="preserve">Запросы без слов темы (чужие города, случайные слова), в ядро не взяты</t>
  </si>
  <si>
    <t xml:space="preserve">Сезонность</t>
  </si>
  <si>
    <t xml:space="preserve">Динамика по месяцам, Челябинская область</t>
  </si>
  <si>
    <t xml:space="preserve">Вопросы клиенту</t>
  </si>
  <si>
    <t xml:space="preserve">Противоречия в брифе, которые влияют на ядро</t>
  </si>
  <si>
    <t xml:space="preserve">Синий шрифт: данные Вордстата (вводные). Чёрный: формулы и текст.</t>
  </si>
  <si>
    <t xml:space="preserve">№</t>
  </si>
  <si>
    <t xml:space="preserve">Фраза</t>
  </si>
  <si>
    <t xml:space="preserve">Кластер</t>
  </si>
  <si>
    <t xml:space="preserve">Страница сайта</t>
  </si>
  <si>
    <t xml:space="preserve">Тип запроса</t>
  </si>
  <si>
    <t xml:space="preserve">Источник</t>
  </si>
  <si>
    <t xml:space="preserve">РФ, широкая (в мес.)</t>
  </si>
  <si>
    <t xml:space="preserve">РФ, точная</t>
  </si>
  <si>
    <t xml:space="preserve">Челябинская обл., широкая</t>
  </si>
  <si>
    <t xml:space="preserve">Челябинская обл., точная</t>
  </si>
  <si>
    <t xml:space="preserve">Класс частотности (обл.)</t>
  </si>
  <si>
    <t xml:space="preserve">Доля обл. от РФ</t>
  </si>
  <si>
    <t xml:space="preserve">Приоритет</t>
  </si>
  <si>
    <t xml:space="preserve">Фраза для Директа (с операторами)</t>
  </si>
  <si>
    <t xml:space="preserve">Примечание</t>
  </si>
  <si>
    <t xml:space="preserve">цех по пошиву одежды</t>
  </si>
  <si>
    <t xml:space="preserve">01 Швейное производство (общее)</t>
  </si>
  <si>
    <t xml:space="preserve">Главная /</t>
  </si>
  <si>
    <t xml:space="preserve">коммерческие</t>
  </si>
  <si>
    <t xml:space="preserve">базовая</t>
  </si>
  <si>
    <t xml:space="preserve">C</t>
  </si>
  <si>
    <t xml:space="preserve">цех +по пошиву одежды</t>
  </si>
  <si>
    <t xml:space="preserve">производство одежды под заказ</t>
  </si>
  <si>
    <t xml:space="preserve">производство одежды +под заказ</t>
  </si>
  <si>
    <t xml:space="preserve">контрактный пошив одежды</t>
  </si>
  <si>
    <t xml:space="preserve">контрактное швейное производство</t>
  </si>
  <si>
    <t xml:space="preserve">пошив одежды под ключ</t>
  </si>
  <si>
    <t xml:space="preserve">пошив одежды +под ключ</t>
  </si>
  <si>
    <t xml:space="preserve">швейная фабрика челябинск</t>
  </si>
  <si>
    <t xml:space="preserve">A</t>
  </si>
  <si>
    <t xml:space="preserve">пошив одежды от производителя</t>
  </si>
  <si>
    <t xml:space="preserve">B2C-риск</t>
  </si>
  <si>
    <t xml:space="preserve">пошив одежды +от производителя</t>
  </si>
  <si>
    <t xml:space="preserve">Без слов «оптом», «партия», «производство»: так ищут и частные лица. В Директ только с минус-словами или не брать</t>
  </si>
  <si>
    <t xml:space="preserve">швейное производство челябинск</t>
  </si>
  <si>
    <t xml:space="preserve">пошив одежды челябинск</t>
  </si>
  <si>
    <t xml:space="preserve">производство одежды челябинск</t>
  </si>
  <si>
    <t xml:space="preserve">швейный цех</t>
  </si>
  <si>
    <t xml:space="preserve">B</t>
  </si>
  <si>
    <t xml:space="preserve">швейная фабрика</t>
  </si>
  <si>
    <t xml:space="preserve">швейное производство</t>
  </si>
  <si>
    <t xml:space="preserve">пошив одежды на заказ</t>
  </si>
  <si>
    <t xml:space="preserve">пошив одежды +на заказ</t>
  </si>
  <si>
    <t xml:space="preserve">пошив одежды на заказ челябинск</t>
  </si>
  <si>
    <t xml:space="preserve">пошив одежды +на заказ челябинск</t>
  </si>
  <si>
    <t xml:space="preserve">швейный цех челябинск</t>
  </si>
  <si>
    <t xml:space="preserve">пошив партий одежды</t>
  </si>
  <si>
    <t xml:space="preserve">производство одежды</t>
  </si>
  <si>
    <t xml:space="preserve">пошив верхней одежды</t>
  </si>
  <si>
    <t xml:space="preserve">Вордстат, замер региона</t>
  </si>
  <si>
    <t xml:space="preserve">фабрики по пошиву одежды</t>
  </si>
  <si>
    <t xml:space="preserve">фабрики +по пошиву одежды</t>
  </si>
  <si>
    <t xml:space="preserve">пошив женской одежды</t>
  </si>
  <si>
    <t xml:space="preserve">индивидуальный пошив одежды</t>
  </si>
  <si>
    <t xml:space="preserve">пошив мужской одежды</t>
  </si>
  <si>
    <t xml:space="preserve">пошить одежду</t>
  </si>
  <si>
    <t xml:space="preserve">пошив 1 одежды</t>
  </si>
  <si>
    <t xml:space="preserve">пошив детских рубашек</t>
  </si>
  <si>
    <t xml:space="preserve">услуги по пошиву одежды</t>
  </si>
  <si>
    <t xml:space="preserve">услуги +по пошиву одежды</t>
  </si>
  <si>
    <t xml:space="preserve">пошив одежды г</t>
  </si>
  <si>
    <t xml:space="preserve">материалы пошив одежды</t>
  </si>
  <si>
    <t xml:space="preserve">Вордстат, без замера региона</t>
  </si>
  <si>
    <t xml:space="preserve">фирма по пошиву одежды</t>
  </si>
  <si>
    <t xml:space="preserve">фирма +по пошиву одежды</t>
  </si>
  <si>
    <t xml:space="preserve">пошив форменной одежды</t>
  </si>
  <si>
    <t xml:space="preserve">используют пошива одежды</t>
  </si>
  <si>
    <t xml:space="preserve">пошив швейное производство</t>
  </si>
  <si>
    <t xml:space="preserve">пошив одежды дому</t>
  </si>
  <si>
    <t xml:space="preserve">цены на пошив одежды</t>
  </si>
  <si>
    <t xml:space="preserve">цены +на пошив одежды</t>
  </si>
  <si>
    <t xml:space="preserve">швейная фабрика цены</t>
  </si>
  <si>
    <t xml:space="preserve">пошив одежды россия</t>
  </si>
  <si>
    <t xml:space="preserve">находить одежда пошив</t>
  </si>
  <si>
    <t xml:space="preserve">ип пошив одежды</t>
  </si>
  <si>
    <t xml:space="preserve">изготовление одежды производство</t>
  </si>
  <si>
    <t xml:space="preserve">пошив медицинской одежды</t>
  </si>
  <si>
    <t xml:space="preserve">пошив одежды м</t>
  </si>
  <si>
    <t xml:space="preserve">пошив одежды года</t>
  </si>
  <si>
    <t xml:space="preserve">нужен пошив одежды</t>
  </si>
  <si>
    <t xml:space="preserve">пошив одежды завод</t>
  </si>
  <si>
    <t xml:space="preserve">пошив одежды предприятие</t>
  </si>
  <si>
    <t xml:space="preserve">пошив военной одежды</t>
  </si>
  <si>
    <t xml:space="preserve">одежда пошив хороший</t>
  </si>
  <si>
    <t xml:space="preserve">мерка пошив одежды</t>
  </si>
  <si>
    <t xml:space="preserve">кукла одежда пошив</t>
  </si>
  <si>
    <t xml:space="preserve">пошив одежды обуви</t>
  </si>
  <si>
    <t xml:space="preserve">пошив одежды нижний</t>
  </si>
  <si>
    <t xml:space="preserve">пошив одежды из кожи</t>
  </si>
  <si>
    <t xml:space="preserve">пошив одежды +из кожи</t>
  </si>
  <si>
    <t xml:space="preserve">заказать пошив одежды</t>
  </si>
  <si>
    <t xml:space="preserve">открыть пошив одежды</t>
  </si>
  <si>
    <t xml:space="preserve">пошив одежды компании</t>
  </si>
  <si>
    <t xml:space="preserve">швейное производство цены</t>
  </si>
  <si>
    <t xml:space="preserve">одежда пошив рабочей</t>
  </si>
  <si>
    <t xml:space="preserve">пошив одежды прейскурант</t>
  </si>
  <si>
    <t xml:space="preserve">новгород пошив одежды</t>
  </si>
  <si>
    <t xml:space="preserve">швей пошив одежда</t>
  </si>
  <si>
    <t xml:space="preserve">пошив одежды джинсы</t>
  </si>
  <si>
    <t xml:space="preserve">дизайн пошив одежды</t>
  </si>
  <si>
    <t xml:space="preserve">проект пошив одежды</t>
  </si>
  <si>
    <t xml:space="preserve">массовый пошив одежды</t>
  </si>
  <si>
    <t xml:space="preserve">пошив одежды пальто</t>
  </si>
  <si>
    <t xml:space="preserve">пошив одежды московский</t>
  </si>
  <si>
    <t xml:space="preserve">пошив одежды форма</t>
  </si>
  <si>
    <t xml:space="preserve">контрактное производство одежды</t>
  </si>
  <si>
    <t xml:space="preserve">швейные фабрики каталоги цены</t>
  </si>
  <si>
    <t xml:space="preserve">фабрика пошиву верхней одежды</t>
  </si>
  <si>
    <t xml:space="preserve">договор на пошив одежды</t>
  </si>
  <si>
    <t xml:space="preserve">договор +на пошив одежды</t>
  </si>
  <si>
    <t xml:space="preserve">одежда пошив размер</t>
  </si>
  <si>
    <t xml:space="preserve">онлайн пошив одежды</t>
  </si>
  <si>
    <t xml:space="preserve">модный пошив одежды</t>
  </si>
  <si>
    <t xml:space="preserve">пошив одежды нижний новгород</t>
  </si>
  <si>
    <t xml:space="preserve">швейные фабрики пошив одежды</t>
  </si>
  <si>
    <t xml:space="preserve">пошив одежды самому</t>
  </si>
  <si>
    <t xml:space="preserve">пошив изготовление одежды</t>
  </si>
  <si>
    <t xml:space="preserve">организация пошива одежды</t>
  </si>
  <si>
    <t xml:space="preserve">карта одежда пошив</t>
  </si>
  <si>
    <t xml:space="preserve">пошив одежды минск</t>
  </si>
  <si>
    <t xml:space="preserve">пошив спортивной одежды на заказ</t>
  </si>
  <si>
    <t xml:space="preserve">пошив спортивной одежды +на заказ</t>
  </si>
  <si>
    <t xml:space="preserve">пошив одежды модели</t>
  </si>
  <si>
    <t xml:space="preserve">пошив рубашек на заказ</t>
  </si>
  <si>
    <t xml:space="preserve">пошив рубашек +на заказ</t>
  </si>
  <si>
    <t xml:space="preserve">натуральная кожа для пошива одежды</t>
  </si>
  <si>
    <t xml:space="preserve">натуральная кожа +для пошива одежды</t>
  </si>
  <si>
    <t xml:space="preserve">пошив одежды для продажи</t>
  </si>
  <si>
    <t xml:space="preserve">пошив одежды +для продажи</t>
  </si>
  <si>
    <t xml:space="preserve">пошив одежды дону</t>
  </si>
  <si>
    <t xml:space="preserve">по пошиву одежды 6</t>
  </si>
  <si>
    <t xml:space="preserve">+по пошиву одежды 6</t>
  </si>
  <si>
    <t xml:space="preserve">пошив одежды мода</t>
  </si>
  <si>
    <t xml:space="preserve">время пошива одежды</t>
  </si>
  <si>
    <t xml:space="preserve">пошив одежды саратов</t>
  </si>
  <si>
    <t xml:space="preserve">швейное производство пошив одежды</t>
  </si>
  <si>
    <t xml:space="preserve">раскрой пошив одежды</t>
  </si>
  <si>
    <t xml:space="preserve">стиль пошив одежды</t>
  </si>
  <si>
    <t xml:space="preserve">костюмы пошив одежды</t>
  </si>
  <si>
    <t xml:space="preserve">простой пошив одежды</t>
  </si>
  <si>
    <t xml:space="preserve">контрактный пошив</t>
  </si>
  <si>
    <t xml:space="preserve">собственный пошив одежды</t>
  </si>
  <si>
    <t xml:space="preserve">пошив одежды детям</t>
  </si>
  <si>
    <t xml:space="preserve">фабрики пошив женской одежды</t>
  </si>
  <si>
    <t xml:space="preserve">качество одежда пошив</t>
  </si>
  <si>
    <t xml:space="preserve">услуги швейного производства</t>
  </si>
  <si>
    <t xml:space="preserve">производство одежды цены</t>
  </si>
  <si>
    <t xml:space="preserve">пошив одежды киров</t>
  </si>
  <si>
    <t xml:space="preserve">пошив одежды ярославль</t>
  </si>
  <si>
    <t xml:space="preserve">пошив корпоративной одежды</t>
  </si>
  <si>
    <t xml:space="preserve">пошив одежды шить</t>
  </si>
  <si>
    <t xml:space="preserve">крой и пошив одежды</t>
  </si>
  <si>
    <t xml:space="preserve">пошив одежды женщин</t>
  </si>
  <si>
    <t xml:space="preserve">пошив одежды пенза</t>
  </si>
  <si>
    <t xml:space="preserve">пошив одежды в китае</t>
  </si>
  <si>
    <t xml:space="preserve">пошив одежды +в китае</t>
  </si>
  <si>
    <t xml:space="preserve">на пошив 9 рубашек</t>
  </si>
  <si>
    <t xml:space="preserve">+на пошив 9 рубашек</t>
  </si>
  <si>
    <t xml:space="preserve">пошив одежды волгоград</t>
  </si>
  <si>
    <t xml:space="preserve">пошив одежды чебоксары</t>
  </si>
  <si>
    <t xml:space="preserve">индивидуальный пошив одежды на заказ</t>
  </si>
  <si>
    <t xml:space="preserve">индивидуальный пошив одежды +на заказ</t>
  </si>
  <si>
    <t xml:space="preserve">пошив одежды брянск</t>
  </si>
  <si>
    <t xml:space="preserve">пошив одежды книга</t>
  </si>
  <si>
    <t xml:space="preserve">швейный цех по пошиву одежды</t>
  </si>
  <si>
    <t xml:space="preserve">швейный цех +по пошиву одежды</t>
  </si>
  <si>
    <t xml:space="preserve">мех кожа пошив одежды</t>
  </si>
  <si>
    <t xml:space="preserve">пошив одежды пермь</t>
  </si>
  <si>
    <t xml:space="preserve">пошив национальной одежды</t>
  </si>
  <si>
    <t xml:space="preserve">пошив одежды куртки</t>
  </si>
  <si>
    <t xml:space="preserve">рынок пошива одежды</t>
  </si>
  <si>
    <t xml:space="preserve">первый пошив одежды</t>
  </si>
  <si>
    <t xml:space="preserve">на пошив 12 рубашек</t>
  </si>
  <si>
    <t xml:space="preserve">+на пошив 12 рубашек</t>
  </si>
  <si>
    <t xml:space="preserve">одежда пошив предлагать</t>
  </si>
  <si>
    <t xml:space="preserve">пошив одежды из меха</t>
  </si>
  <si>
    <t xml:space="preserve">пошив одежды +из меха</t>
  </si>
  <si>
    <t xml:space="preserve">зимняя одежда пошив</t>
  </si>
  <si>
    <t xml:space="preserve">производственный пошив одежды</t>
  </si>
  <si>
    <t xml:space="preserve">пошив современной одежды</t>
  </si>
  <si>
    <t xml:space="preserve">конструирование пошив одежды</t>
  </si>
  <si>
    <t xml:space="preserve">пошив одежды ижевск</t>
  </si>
  <si>
    <t xml:space="preserve">пошив одежды хабаровск</t>
  </si>
  <si>
    <t xml:space="preserve">пошив одежды симферополь</t>
  </si>
  <si>
    <t xml:space="preserve">роксимода крой и пошив одежды</t>
  </si>
  <si>
    <t xml:space="preserve">пошив одежды тула</t>
  </si>
  <si>
    <t xml:space="preserve">домашний пошив одежды</t>
  </si>
  <si>
    <t xml:space="preserve">пошив одежды старди</t>
  </si>
  <si>
    <t xml:space="preserve">частный пошив одежды</t>
  </si>
  <si>
    <t xml:space="preserve">легкий одежда пошив</t>
  </si>
  <si>
    <t xml:space="preserve">прейскурант цен на пошив одежды</t>
  </si>
  <si>
    <t xml:space="preserve">прейскурант цен +на пошив одежды</t>
  </si>
  <si>
    <t xml:space="preserve">пошив одежды ставрополь</t>
  </si>
  <si>
    <t xml:space="preserve">клиентов пошив одежды</t>
  </si>
  <si>
    <t xml:space="preserve">получить пошив одежды</t>
  </si>
  <si>
    <t xml:space="preserve">метро пошив одежды</t>
  </si>
  <si>
    <t xml:space="preserve">описание пошива одежды</t>
  </si>
  <si>
    <t xml:space="preserve">пошив одежды московская область</t>
  </si>
  <si>
    <t xml:space="preserve">пошив фирменной одежды</t>
  </si>
  <si>
    <t xml:space="preserve">пошива одежды оказание услуг</t>
  </si>
  <si>
    <t xml:space="preserve">пошив верхней женской одежды</t>
  </si>
  <si>
    <t xml:space="preserve">пошив одежды курск</t>
  </si>
  <si>
    <t xml:space="preserve">пошив одежды для танцев</t>
  </si>
  <si>
    <t xml:space="preserve">пошив одежды +для танцев</t>
  </si>
  <si>
    <t xml:space="preserve">вещь пошив одежды</t>
  </si>
  <si>
    <t xml:space="preserve">вопросы по пошиву одежды</t>
  </si>
  <si>
    <t xml:space="preserve">вопросы +по пошиву одежды</t>
  </si>
  <si>
    <t xml:space="preserve">про пошив одежды</t>
  </si>
  <si>
    <t xml:space="preserve">пошив одежды иркутск</t>
  </si>
  <si>
    <t xml:space="preserve">мелкий пошив одежды</t>
  </si>
  <si>
    <t xml:space="preserve">пошив одежды процесс</t>
  </si>
  <si>
    <t xml:space="preserve">окпд пошив одежды</t>
  </si>
  <si>
    <t xml:space="preserve">замша для пошива одежды</t>
  </si>
  <si>
    <t xml:space="preserve">замша +для пошива одежды</t>
  </si>
  <si>
    <t xml:space="preserve">одежда без пошива</t>
  </si>
  <si>
    <t xml:space="preserve">пошив мужской женской одежды</t>
  </si>
  <si>
    <t xml:space="preserve">выполняем пошив одежды</t>
  </si>
  <si>
    <t xml:space="preserve">пошив одежды идеи</t>
  </si>
  <si>
    <t xml:space="preserve">пошив одежды тверь</t>
  </si>
  <si>
    <t xml:space="preserve">швейный цех заказ пошив</t>
  </si>
  <si>
    <t xml:space="preserve">пошив контрактное производство</t>
  </si>
  <si>
    <t xml:space="preserve">одежда пошив расценка</t>
  </si>
  <si>
    <t xml:space="preserve">пошив одежды рязань</t>
  </si>
  <si>
    <t xml:space="preserve">возьму пошив одежды</t>
  </si>
  <si>
    <t xml:space="preserve">пошив одежды вологда</t>
  </si>
  <si>
    <t xml:space="preserve">пошив мужской одежды на заказ</t>
  </si>
  <si>
    <t xml:space="preserve">пошив мужской одежды +на заказ</t>
  </si>
  <si>
    <t xml:space="preserve">пошив одежды великий</t>
  </si>
  <si>
    <t xml:space="preserve">заказы для швейных производств</t>
  </si>
  <si>
    <t xml:space="preserve">заказы +для швейных производств</t>
  </si>
  <si>
    <t xml:space="preserve">пошить одежду на заказ</t>
  </si>
  <si>
    <t xml:space="preserve">пошить одежду +на заказ</t>
  </si>
  <si>
    <t xml:space="preserve">пошив верхней одежды на заказ</t>
  </si>
  <si>
    <t xml:space="preserve">пошив верхней одежды +на заказ</t>
  </si>
  <si>
    <t xml:space="preserve">производства пошив верхней одежды</t>
  </si>
  <si>
    <t xml:space="preserve">пошив форменной одежды на заказ</t>
  </si>
  <si>
    <t xml:space="preserve">пошив форменной одежды +на заказ</t>
  </si>
  <si>
    <t xml:space="preserve">пошив женской одежды на заказ</t>
  </si>
  <si>
    <t xml:space="preserve">пошив женской одежды +на заказ</t>
  </si>
  <si>
    <t xml:space="preserve">фабрика пошива одежды на заказ</t>
  </si>
  <si>
    <t xml:space="preserve">фабрика пошива одежды +на заказ</t>
  </si>
  <si>
    <t xml:space="preserve">швейные заказы на пошив одежды</t>
  </si>
  <si>
    <t xml:space="preserve">швейные заказы +на пошив одежды</t>
  </si>
  <si>
    <t xml:space="preserve">пошив медицинской одежды на заказ</t>
  </si>
  <si>
    <t xml:space="preserve">пошив медицинской одежды +на заказ</t>
  </si>
  <si>
    <t xml:space="preserve">пошив толстовок на заказ</t>
  </si>
  <si>
    <t xml:space="preserve">пошив толстовок +на заказ</t>
  </si>
  <si>
    <t xml:space="preserve">пошив одежды мелкий опт</t>
  </si>
  <si>
    <t xml:space="preserve">пошив детской одежды на заказ</t>
  </si>
  <si>
    <t xml:space="preserve">пошив детской одежды +на заказ</t>
  </si>
  <si>
    <t xml:space="preserve">контрактное производство пошив одежды</t>
  </si>
  <si>
    <t xml:space="preserve">пошив корпоративной одежды на заказ</t>
  </si>
  <si>
    <t xml:space="preserve">пошив корпоративной одежды +на заказ</t>
  </si>
  <si>
    <t xml:space="preserve">пошив рабочей одежды на заказ</t>
  </si>
  <si>
    <t xml:space="preserve">пошив рабочей одежды +на заказ</t>
  </si>
  <si>
    <t xml:space="preserve">производство бирок для одежды</t>
  </si>
  <si>
    <t xml:space="preserve">производство бирок +для одежды</t>
  </si>
  <si>
    <t xml:space="preserve">пошив белых рубашек</t>
  </si>
  <si>
    <t xml:space="preserve">швейный цех пошив штор</t>
  </si>
  <si>
    <t xml:space="preserve">на пошив 12 рубашек пошло</t>
  </si>
  <si>
    <t xml:space="preserve">+на пошив 12 рубашек пошло</t>
  </si>
  <si>
    <t xml:space="preserve">фабрика пошив рубашек</t>
  </si>
  <si>
    <t xml:space="preserve">пошив одежды на заказ цены</t>
  </si>
  <si>
    <t xml:space="preserve">пошив одежды +на заказ цены</t>
  </si>
  <si>
    <t xml:space="preserve">пошив одежды на заказ нижний</t>
  </si>
  <si>
    <t xml:space="preserve">пошив одежды +на заказ нижний</t>
  </si>
  <si>
    <t xml:space="preserve">пошив одежды на заказ новгород</t>
  </si>
  <si>
    <t xml:space="preserve">пошив одежды +на заказ новгород</t>
  </si>
  <si>
    <t xml:space="preserve">пошив одежды на заказ россия</t>
  </si>
  <si>
    <t xml:space="preserve">пошив одежды +на заказ россия</t>
  </si>
  <si>
    <t xml:space="preserve">швейный цех принимает заказы</t>
  </si>
  <si>
    <t xml:space="preserve">швейный цех ищет заказы</t>
  </si>
  <si>
    <t xml:space="preserve">пошив одежды на заказ пермь</t>
  </si>
  <si>
    <t xml:space="preserve">пошив одежды +на заказ пермь</t>
  </si>
  <si>
    <t xml:space="preserve">пошив одежды на заказ саратов</t>
  </si>
  <si>
    <t xml:space="preserve">пошив одежды +на заказ саратов</t>
  </si>
  <si>
    <t xml:space="preserve">пошив одежды на заказ курск</t>
  </si>
  <si>
    <t xml:space="preserve">пошив одежды +на заказ курск</t>
  </si>
  <si>
    <t xml:space="preserve">найти заказы на пошив одежды</t>
  </si>
  <si>
    <t xml:space="preserve">найти заказы +на пошив одежды</t>
  </si>
  <si>
    <t xml:space="preserve">пошив одежды на заказ барнаул</t>
  </si>
  <si>
    <t xml:space="preserve">пошив одежды +на заказ барнаул</t>
  </si>
  <si>
    <t xml:space="preserve">производство и обработка на заказ</t>
  </si>
  <si>
    <t xml:space="preserve">производство и обработка +на заказ</t>
  </si>
  <si>
    <t xml:space="preserve">пошив верхней одежды челябинск</t>
  </si>
  <si>
    <t xml:space="preserve">спец пошив одежды в челябинске</t>
  </si>
  <si>
    <t xml:space="preserve">спец пошив одежды +в челябинске</t>
  </si>
  <si>
    <t xml:space="preserve">пошив одежды</t>
  </si>
  <si>
    <t xml:space="preserve">производство одежды на заказ</t>
  </si>
  <si>
    <t xml:space="preserve">производство одежды +на заказ</t>
  </si>
  <si>
    <t xml:space="preserve">производство одежды услуги</t>
  </si>
  <si>
    <t xml:space="preserve">пошив одежды вид производства</t>
  </si>
  <si>
    <t xml:space="preserve">пошив одежды свое производство</t>
  </si>
  <si>
    <t xml:space="preserve">пошив костюма на заказ</t>
  </si>
  <si>
    <t xml:space="preserve">пошив костюма +на заказ</t>
  </si>
  <si>
    <t xml:space="preserve">пошив детской одежды</t>
  </si>
  <si>
    <t xml:space="preserve">пошив одежды на заказ производство</t>
  </si>
  <si>
    <t xml:space="preserve">пошив одежды +на заказ производство</t>
  </si>
  <si>
    <t xml:space="preserve">пошив</t>
  </si>
  <si>
    <t xml:space="preserve">пошив спортивной одежды</t>
  </si>
  <si>
    <t xml:space="preserve">на пошив 30 детских рубашек</t>
  </si>
  <si>
    <t xml:space="preserve">+на пошив 30 детских рубашек</t>
  </si>
  <si>
    <t xml:space="preserve">производство пошиву женской одежды</t>
  </si>
  <si>
    <t xml:space="preserve">заказы для швейного цеха</t>
  </si>
  <si>
    <t xml:space="preserve">заказы +для швейного цеха</t>
  </si>
  <si>
    <t xml:space="preserve">услуги швейных цехов</t>
  </si>
  <si>
    <t xml:space="preserve">пошив мелким оптом</t>
  </si>
  <si>
    <t xml:space="preserve">02 Опт / партии</t>
  </si>
  <si>
    <t xml:space="preserve">Услуги → Опт для маркетплейсов</t>
  </si>
  <si>
    <t xml:space="preserve">пошив одежды оптом цена</t>
  </si>
  <si>
    <t xml:space="preserve">пошив одежды оптом</t>
  </si>
  <si>
    <t xml:space="preserve">пошив оптом челябинск</t>
  </si>
  <si>
    <t xml:space="preserve">пошив одежды оптом от 100 штук</t>
  </si>
  <si>
    <t xml:space="preserve">пошив одежды оптом +от 100 штук</t>
  </si>
  <si>
    <t xml:space="preserve">Минимальная партия в брифе противоречива (100 / 300 / 10): согласовать с клиентом</t>
  </si>
  <si>
    <t xml:space="preserve">производство одежды оптом</t>
  </si>
  <si>
    <t xml:space="preserve">пошив партии одежды</t>
  </si>
  <si>
    <t xml:space="preserve">нет данных</t>
  </si>
  <si>
    <t xml:space="preserve">заказать пошив партии одежды</t>
  </si>
  <si>
    <t xml:space="preserve">пошив одежды оптом от 300 штук</t>
  </si>
  <si>
    <t xml:space="preserve">пошив одежды оптом +от 300 штук</t>
  </si>
  <si>
    <t xml:space="preserve">минимальная партия пошив одежды</t>
  </si>
  <si>
    <t xml:space="preserve">пошив детской одежды оптом</t>
  </si>
  <si>
    <t xml:space="preserve">пошив женской одежды оптом</t>
  </si>
  <si>
    <t xml:space="preserve">швейный цех оптом</t>
  </si>
  <si>
    <t xml:space="preserve">заказать пошив одежды оптом</t>
  </si>
  <si>
    <t xml:space="preserve">пошив одежды оптом на заказ</t>
  </si>
  <si>
    <t xml:space="preserve">пошив одежды оптом +на заказ</t>
  </si>
  <si>
    <t xml:space="preserve">производство партии одежды</t>
  </si>
  <si>
    <t xml:space="preserve">фабрика пошива одежды оптом</t>
  </si>
  <si>
    <t xml:space="preserve">пошив одежды оптом россия</t>
  </si>
  <si>
    <t xml:space="preserve">пошив одежды для вайлдберриз</t>
  </si>
  <si>
    <t xml:space="preserve">03 Маркетплейсы WB / Ozon</t>
  </si>
  <si>
    <t xml:space="preserve">пошив одежды +для вайлдберриз</t>
  </si>
  <si>
    <t xml:space="preserve">пошив одежды для вб</t>
  </si>
  <si>
    <t xml:space="preserve">пошив одежды +для вб</t>
  </si>
  <si>
    <t xml:space="preserve">производство одежды для wildberries</t>
  </si>
  <si>
    <t xml:space="preserve">производство одежды +для wildberries</t>
  </si>
  <si>
    <t xml:space="preserve">пошив одежды для селлеров</t>
  </si>
  <si>
    <t xml:space="preserve">пошив одежды +для селлеров</t>
  </si>
  <si>
    <t xml:space="preserve">швейное производство для wildberries</t>
  </si>
  <si>
    <t xml:space="preserve">швейное производство +для wildberries</t>
  </si>
  <si>
    <t xml:space="preserve">пошив одежды для wildberries</t>
  </si>
  <si>
    <t xml:space="preserve">пошив одежды +для wildberries</t>
  </si>
  <si>
    <t xml:space="preserve">пошив для маркетплейсов</t>
  </si>
  <si>
    <t xml:space="preserve">пошив +для маркетплейсов</t>
  </si>
  <si>
    <t xml:space="preserve">пошив одежды для ozon</t>
  </si>
  <si>
    <t xml:space="preserve">пошив одежды +для ozon</t>
  </si>
  <si>
    <t xml:space="preserve">производство одежды для маркетплейсов</t>
  </si>
  <si>
    <t xml:space="preserve">производство одежды +для маркетплейсов</t>
  </si>
  <si>
    <t xml:space="preserve">где заказать пошив для wildberries</t>
  </si>
  <si>
    <t xml:space="preserve">где заказать пошив +для wildberries</t>
  </si>
  <si>
    <t xml:space="preserve">озон бирки для одежды</t>
  </si>
  <si>
    <t xml:space="preserve">озон бирки +для одежды</t>
  </si>
  <si>
    <t xml:space="preserve">пошив одежды для маркетплейсов</t>
  </si>
  <si>
    <t xml:space="preserve">пошив одежды +для маркетплейсов</t>
  </si>
  <si>
    <t xml:space="preserve">пошив малых партий</t>
  </si>
  <si>
    <t xml:space="preserve">04 Бренды / малые партии</t>
  </si>
  <si>
    <t xml:space="preserve">Услуги → Партии для брендов</t>
  </si>
  <si>
    <t xml:space="preserve">пошив одежды стм</t>
  </si>
  <si>
    <t xml:space="preserve">пошив одежды для брендов</t>
  </si>
  <si>
    <t xml:space="preserve">пошив одежды +для брендов</t>
  </si>
  <si>
    <t xml:space="preserve">пошив коллекции одежды</t>
  </si>
  <si>
    <t xml:space="preserve">производство одежды для брендов</t>
  </si>
  <si>
    <t xml:space="preserve">производство одежды +для брендов</t>
  </si>
  <si>
    <t xml:space="preserve">пошив одежды малыми партиями</t>
  </si>
  <si>
    <t xml:space="preserve">мелкосерийное производство одежды</t>
  </si>
  <si>
    <t xml:space="preserve">производство одежды для стартапа</t>
  </si>
  <si>
    <t xml:space="preserve">производство одежды +для стартапа</t>
  </si>
  <si>
    <t xml:space="preserve">пошив для бренда одежды</t>
  </si>
  <si>
    <t xml:space="preserve">пошив +для бренда одежды</t>
  </si>
  <si>
    <t xml:space="preserve">пошив одежды под своей маркой</t>
  </si>
  <si>
    <t xml:space="preserve">пошив одежды +под своей маркой</t>
  </si>
  <si>
    <t xml:space="preserve">пошив одежды под собственным брендом</t>
  </si>
  <si>
    <t xml:space="preserve">пошив одежды +под собственным брендом</t>
  </si>
  <si>
    <t xml:space="preserve">производство одежды под ключ для бренда</t>
  </si>
  <si>
    <t xml:space="preserve">производство одежды +под ключ +для бренда</t>
  </si>
  <si>
    <t xml:space="preserve">производство своего бренда одежды</t>
  </si>
  <si>
    <t xml:space="preserve">производство вашего бренда одежды</t>
  </si>
  <si>
    <t xml:space="preserve">пошив образцов одежды</t>
  </si>
  <si>
    <t xml:space="preserve">05 Образец / экспериментальный цех</t>
  </si>
  <si>
    <t xml:space="preserve">Услуги → Образец за 2-3 дня</t>
  </si>
  <si>
    <t xml:space="preserve">сшить образец одежды</t>
  </si>
  <si>
    <t xml:space="preserve">пошив по готовым лекалам</t>
  </si>
  <si>
    <t xml:space="preserve">пошив +по готовым лекалам</t>
  </si>
  <si>
    <t xml:space="preserve">пошив одежды по лекалам</t>
  </si>
  <si>
    <t xml:space="preserve">пошив одежды +по лекалам</t>
  </si>
  <si>
    <t xml:space="preserve">экспериментальный цех по пошиву одежды</t>
  </si>
  <si>
    <t xml:space="preserve">экспериментальный цех +по пошиву одежды</t>
  </si>
  <si>
    <t xml:space="preserve">экспериментальный цех</t>
  </si>
  <si>
    <t xml:space="preserve">изготовление образца одежды</t>
  </si>
  <si>
    <t xml:space="preserve">пошив образца одежды</t>
  </si>
  <si>
    <t xml:space="preserve">пошив опытного образца</t>
  </si>
  <si>
    <t xml:space="preserve">пошив прототипа одежды</t>
  </si>
  <si>
    <t xml:space="preserve">экспериментальный цех пошива</t>
  </si>
  <si>
    <t xml:space="preserve">пошив из давальческого сырья</t>
  </si>
  <si>
    <t xml:space="preserve">06 Давальческое сырьё</t>
  </si>
  <si>
    <t xml:space="preserve">Услуги → Пошив из материала заказчика</t>
  </si>
  <si>
    <t xml:space="preserve">пошив +из давальческого сырья</t>
  </si>
  <si>
    <t xml:space="preserve">пошив из ткани заказчика</t>
  </si>
  <si>
    <t xml:space="preserve">пошив +из ткани заказчика</t>
  </si>
  <si>
    <t xml:space="preserve">давальческое сырье швейное производство</t>
  </si>
  <si>
    <t xml:space="preserve">пошив из материала заказчика</t>
  </si>
  <si>
    <t xml:space="preserve">пошив +из материала заказчика</t>
  </si>
  <si>
    <t xml:space="preserve">пошив на давальческом сырье цена</t>
  </si>
  <si>
    <t xml:space="preserve">пошив +на давальческом сырье цена</t>
  </si>
  <si>
    <t xml:space="preserve">швейное производство давальческое сырье</t>
  </si>
  <si>
    <t xml:space="preserve">пошив одежды из давальческого сырья</t>
  </si>
  <si>
    <t xml:space="preserve">пошив одежды +из давальческого сырья</t>
  </si>
  <si>
    <t xml:space="preserve">услуги пошива из давальческого сырья</t>
  </si>
  <si>
    <t xml:space="preserve">услуги пошива +из давальческого сырья</t>
  </si>
  <si>
    <t xml:space="preserve">пошив худи оптом</t>
  </si>
  <si>
    <t xml:space="preserve">07 Худи / свитшоты / толстовки</t>
  </si>
  <si>
    <t xml:space="preserve">Изделия → Худи и свитшоты</t>
  </si>
  <si>
    <t xml:space="preserve">пошив зип худи</t>
  </si>
  <si>
    <t xml:space="preserve">свитшоты оптом от производителя</t>
  </si>
  <si>
    <t xml:space="preserve">Проверка</t>
  </si>
  <si>
    <t xml:space="preserve">свитшоты оптом +от производителя</t>
  </si>
  <si>
    <t xml:space="preserve">Ищут готовый товар, а не пошив. Не в Директ-ядро; отдельная группа или SEO-статья</t>
  </si>
  <si>
    <t xml:space="preserve">пошив худи с логотипом</t>
  </si>
  <si>
    <t xml:space="preserve">пошив худи +с логотипом</t>
  </si>
  <si>
    <t xml:space="preserve">пошив толстовок оптом</t>
  </si>
  <si>
    <t xml:space="preserve">производство толстовок</t>
  </si>
  <si>
    <t xml:space="preserve">производство худи</t>
  </si>
  <si>
    <t xml:space="preserve">худи оптом от производителя</t>
  </si>
  <si>
    <t xml:space="preserve">худи оптом +от производителя</t>
  </si>
  <si>
    <t xml:space="preserve">производство худи оптом</t>
  </si>
  <si>
    <t xml:space="preserve">пошив толстовок</t>
  </si>
  <si>
    <t xml:space="preserve">пошив худи на заказ</t>
  </si>
  <si>
    <t xml:space="preserve">пошив худи +на заказ</t>
  </si>
  <si>
    <t xml:space="preserve">пошив свитшотов</t>
  </si>
  <si>
    <t xml:space="preserve">пошив свитшотов оптом</t>
  </si>
  <si>
    <t xml:space="preserve">пошив худи челябинск</t>
  </si>
  <si>
    <t xml:space="preserve">пошив худи</t>
  </si>
  <si>
    <t xml:space="preserve">производство худи под бренд</t>
  </si>
  <si>
    <t xml:space="preserve">производство худи +под бренд</t>
  </si>
  <si>
    <t xml:space="preserve">толстовки оптом от производителя</t>
  </si>
  <si>
    <t xml:space="preserve">толстовки оптом +от производителя</t>
  </si>
  <si>
    <t xml:space="preserve">пошив толстовки на молнии</t>
  </si>
  <si>
    <t xml:space="preserve">пошив толстовки +на молнии</t>
  </si>
  <si>
    <t xml:space="preserve">пошить толстовку</t>
  </si>
  <si>
    <t xml:space="preserve">пошив худи москва</t>
  </si>
  <si>
    <t xml:space="preserve">пошить худи</t>
  </si>
  <si>
    <t xml:space="preserve">материал для пошива худи</t>
  </si>
  <si>
    <t xml:space="preserve">материал +для пошива худи</t>
  </si>
  <si>
    <t xml:space="preserve">пошив худи на заказ оптом</t>
  </si>
  <si>
    <t xml:space="preserve">пошив худи +на заказ оптом</t>
  </si>
  <si>
    <t xml:space="preserve">пошив брюк</t>
  </si>
  <si>
    <t xml:space="preserve">08 Платья / рубашки / брюки / шорты</t>
  </si>
  <si>
    <t xml:space="preserve">Изделия → Платья, рубашки, брюки</t>
  </si>
  <si>
    <t xml:space="preserve">брюки оптом от производителя</t>
  </si>
  <si>
    <t xml:space="preserve">брюки оптом +от производителя</t>
  </si>
  <si>
    <t xml:space="preserve">пошив рубашек</t>
  </si>
  <si>
    <t xml:space="preserve">рубашки оптом от производителя</t>
  </si>
  <si>
    <t xml:space="preserve">рубашки оптом +от производителя</t>
  </si>
  <si>
    <t xml:space="preserve">пошив брюк оптом</t>
  </si>
  <si>
    <t xml:space="preserve">пошив платьев оптом</t>
  </si>
  <si>
    <t xml:space="preserve">пошив рубашек оптом</t>
  </si>
  <si>
    <t xml:space="preserve">шорты оптом от производителя</t>
  </si>
  <si>
    <t xml:space="preserve">шорты оптом +от производителя</t>
  </si>
  <si>
    <t xml:space="preserve">пошив платьев</t>
  </si>
  <si>
    <t xml:space="preserve">платья оптом от производителя</t>
  </si>
  <si>
    <t xml:space="preserve">платья оптом +от производителя</t>
  </si>
  <si>
    <t xml:space="preserve">пошив шорт оптом</t>
  </si>
  <si>
    <t xml:space="preserve">пошив платья на заказ</t>
  </si>
  <si>
    <t xml:space="preserve">пошив платья +на заказ</t>
  </si>
  <si>
    <t xml:space="preserve">пошив брюк женских</t>
  </si>
  <si>
    <t xml:space="preserve">пошив мужских брюк</t>
  </si>
  <si>
    <t xml:space="preserve">платье пошив юбка</t>
  </si>
  <si>
    <t xml:space="preserve">платье пошив стоять</t>
  </si>
  <si>
    <t xml:space="preserve">на пошив 1 платья</t>
  </si>
  <si>
    <t xml:space="preserve">+на пошив 1 платья</t>
  </si>
  <si>
    <t xml:space="preserve">на пошив 5 платьев</t>
  </si>
  <si>
    <t xml:space="preserve">+на пошив 5 платьев</t>
  </si>
  <si>
    <t xml:space="preserve">шорты пошив</t>
  </si>
  <si>
    <t xml:space="preserve">пошив костюмов платьев</t>
  </si>
  <si>
    <t xml:space="preserve">пошив платьев москва</t>
  </si>
  <si>
    <t xml:space="preserve">найти пошив платья</t>
  </si>
  <si>
    <t xml:space="preserve">пошив женского платья</t>
  </si>
  <si>
    <t xml:space="preserve">пошить рубашку</t>
  </si>
  <si>
    <t xml:space="preserve">пошив платья годе</t>
  </si>
  <si>
    <t xml:space="preserve">мужской пошив рубашка</t>
  </si>
  <si>
    <t xml:space="preserve">пошив фигурных платьев</t>
  </si>
  <si>
    <t xml:space="preserve">пошив детских платьев</t>
  </si>
  <si>
    <t xml:space="preserve">платья танцы пошив</t>
  </si>
  <si>
    <t xml:space="preserve">пошив платьев для фигурного катания</t>
  </si>
  <si>
    <t xml:space="preserve">пошив платьев +для фигурного катания</t>
  </si>
  <si>
    <t xml:space="preserve">женский пошив рубашка</t>
  </si>
  <si>
    <t xml:space="preserve">платье пошить стоять</t>
  </si>
  <si>
    <t xml:space="preserve">заказать пошив платья</t>
  </si>
  <si>
    <t xml:space="preserve">для пошива платья нужно</t>
  </si>
  <si>
    <t xml:space="preserve">+для пошива платья нужно</t>
  </si>
  <si>
    <t xml:space="preserve">индивидуальный пошив платья</t>
  </si>
  <si>
    <t xml:space="preserve">пошив платья для девочек</t>
  </si>
  <si>
    <t xml:space="preserve">пошив платья +для девочек</t>
  </si>
  <si>
    <t xml:space="preserve">пошив одежды платья</t>
  </si>
  <si>
    <t xml:space="preserve">пошив брюк на заказ</t>
  </si>
  <si>
    <t xml:space="preserve">пошив брюк +на заказ</t>
  </si>
  <si>
    <t xml:space="preserve">пошив платье спб</t>
  </si>
  <si>
    <t xml:space="preserve">на пошив 7 платьев</t>
  </si>
  <si>
    <t xml:space="preserve">+на пошив 7 платьев</t>
  </si>
  <si>
    <t xml:space="preserve">пошив танцевальных платьев</t>
  </si>
  <si>
    <t xml:space="preserve">пошив платья кукле</t>
  </si>
  <si>
    <t xml:space="preserve">пошив спортивных брюк</t>
  </si>
  <si>
    <t xml:space="preserve">блузка в пошиве платья</t>
  </si>
  <si>
    <t xml:space="preserve">блузка +в пошиве платья</t>
  </si>
  <si>
    <t xml:space="preserve">правильный пошив платья</t>
  </si>
  <si>
    <t xml:space="preserve">пошив рейтинговых платьев</t>
  </si>
  <si>
    <t xml:space="preserve">пошив юбок брюк</t>
  </si>
  <si>
    <t xml:space="preserve">фабрика пошив платьев</t>
  </si>
  <si>
    <t xml:space="preserve">карман брюк пошив</t>
  </si>
  <si>
    <t xml:space="preserve">лента для пошива брюк</t>
  </si>
  <si>
    <t xml:space="preserve">лента +для пошива брюк</t>
  </si>
  <si>
    <t xml:space="preserve">пошив платья без</t>
  </si>
  <si>
    <t xml:space="preserve">вто брюк пошивом</t>
  </si>
  <si>
    <t xml:space="preserve">мерки для пошива брюк</t>
  </si>
  <si>
    <t xml:space="preserve">мерки +для пошива брюк</t>
  </si>
  <si>
    <t xml:space="preserve">пошив брюк где</t>
  </si>
  <si>
    <t xml:space="preserve">платья шелка пошив</t>
  </si>
  <si>
    <t xml:space="preserve">пошить платье на заказ</t>
  </si>
  <si>
    <t xml:space="preserve">пошить платье +на заказ</t>
  </si>
  <si>
    <t xml:space="preserve">пошив нарядных платьев</t>
  </si>
  <si>
    <t xml:space="preserve">правильный пошив брюк</t>
  </si>
  <si>
    <t xml:space="preserve">пошив платья модели</t>
  </si>
  <si>
    <t xml:space="preserve">пошив рукава платья</t>
  </si>
  <si>
    <t xml:space="preserve">летние платья пошив</t>
  </si>
  <si>
    <t xml:space="preserve">размеры для пошива брюк</t>
  </si>
  <si>
    <t xml:space="preserve">размеры +для пошива брюк</t>
  </si>
  <si>
    <t xml:space="preserve">пошить брюки женские</t>
  </si>
  <si>
    <t xml:space="preserve">пошив брюк пояс</t>
  </si>
  <si>
    <t xml:space="preserve">пошив платья самому</t>
  </si>
  <si>
    <t xml:space="preserve">размеры для пошива платья</t>
  </si>
  <si>
    <t xml:space="preserve">размеры +для пошива платья</t>
  </si>
  <si>
    <t xml:space="preserve">материал для пошива платьев</t>
  </si>
  <si>
    <t xml:space="preserve">материал +для пошива платьев</t>
  </si>
  <si>
    <t xml:space="preserve">пошив брюк резинке</t>
  </si>
  <si>
    <t xml:space="preserve">мерка платье пошив</t>
  </si>
  <si>
    <t xml:space="preserve">пошив школьного платья</t>
  </si>
  <si>
    <t xml:space="preserve">широкие брюки пошив</t>
  </si>
  <si>
    <t xml:space="preserve">пошив простых платьев</t>
  </si>
  <si>
    <t xml:space="preserve">фирмы по пошиву платьев</t>
  </si>
  <si>
    <t xml:space="preserve">фирмы +по пошиву платьев</t>
  </si>
  <si>
    <t xml:space="preserve">пошив брюк спб</t>
  </si>
  <si>
    <t xml:space="preserve">для пошива платьев рулон</t>
  </si>
  <si>
    <t xml:space="preserve">+для пошива платьев рулон</t>
  </si>
  <si>
    <t xml:space="preserve">индивидуальный пошив брюк</t>
  </si>
  <si>
    <t xml:space="preserve">пошить платье девочке</t>
  </si>
  <si>
    <t xml:space="preserve">пошить правильно платье</t>
  </si>
  <si>
    <t xml:space="preserve">на пошив 45 платьев</t>
  </si>
  <si>
    <t xml:space="preserve">+на пошив 45 платьев</t>
  </si>
  <si>
    <t xml:space="preserve">брюки палаццо пошив</t>
  </si>
  <si>
    <t xml:space="preserve">пошить шорты</t>
  </si>
  <si>
    <t xml:space="preserve">брюки пошив на заказ мужские</t>
  </si>
  <si>
    <t xml:space="preserve">брюки пошив +на заказ мужские</t>
  </si>
  <si>
    <t xml:space="preserve">пошив пышного платья</t>
  </si>
  <si>
    <t xml:space="preserve">план пошива платья</t>
  </si>
  <si>
    <t xml:space="preserve">пошив брюк детских</t>
  </si>
  <si>
    <t xml:space="preserve">материалы для пошива брюк</t>
  </si>
  <si>
    <t xml:space="preserve">материалы +для пошива брюк</t>
  </si>
  <si>
    <t xml:space="preserve">платья длинное пошив</t>
  </si>
  <si>
    <t xml:space="preserve">рубашки пошив москва</t>
  </si>
  <si>
    <t xml:space="preserve">фабрика пошив брюк</t>
  </si>
  <si>
    <t xml:space="preserve">инструкция пошива брюк</t>
  </si>
  <si>
    <t xml:space="preserve">пошив молнии брюк</t>
  </si>
  <si>
    <t xml:space="preserve">пошив джинсовых брюк</t>
  </si>
  <si>
    <t xml:space="preserve">пошив платья описание</t>
  </si>
  <si>
    <t xml:space="preserve">пошив платья для женщин</t>
  </si>
  <si>
    <t xml:space="preserve">пошив платья +для женщин</t>
  </si>
  <si>
    <t xml:space="preserve">пошив брюк в москве</t>
  </si>
  <si>
    <t xml:space="preserve">пошив брюк +в москве</t>
  </si>
  <si>
    <t xml:space="preserve">вто брюк женских при пошиве</t>
  </si>
  <si>
    <t xml:space="preserve">снять мерки для пошива брюк</t>
  </si>
  <si>
    <t xml:space="preserve">снять мерки +для пошива брюк</t>
  </si>
  <si>
    <t xml:space="preserve">трикотажные брюки пошив</t>
  </si>
  <si>
    <t xml:space="preserve">красивый пошив платья</t>
  </si>
  <si>
    <t xml:space="preserve">фасоны платьев пошив</t>
  </si>
  <si>
    <t xml:space="preserve">пошив платья ростов</t>
  </si>
  <si>
    <t xml:space="preserve">схемы пошива платьев</t>
  </si>
  <si>
    <t xml:space="preserve">рубашка воротник пошив</t>
  </si>
  <si>
    <t xml:space="preserve">пошив брюк описание</t>
  </si>
  <si>
    <t xml:space="preserve">пошив трикотажного платья</t>
  </si>
  <si>
    <t xml:space="preserve">индивидуальный пошив рубашки</t>
  </si>
  <si>
    <t xml:space="preserve">пошив брюк на подкладке</t>
  </si>
  <si>
    <t xml:space="preserve">пошив брюк +на подкладке</t>
  </si>
  <si>
    <t xml:space="preserve">пошив платьев полных</t>
  </si>
  <si>
    <t xml:space="preserve">заказать пошив брюк</t>
  </si>
  <si>
    <t xml:space="preserve">пошив нижнего платья</t>
  </si>
  <si>
    <t xml:space="preserve">мк платье пошив</t>
  </si>
  <si>
    <t xml:space="preserve">на пошив брюк нужно</t>
  </si>
  <si>
    <t xml:space="preserve">+на пошив брюк нужно</t>
  </si>
  <si>
    <t xml:space="preserve">курс пошив брюк</t>
  </si>
  <si>
    <t xml:space="preserve">пошив мужских брюк стоит</t>
  </si>
  <si>
    <t xml:space="preserve">пошив платья рубашки</t>
  </si>
  <si>
    <t xml:space="preserve">время пошива платья</t>
  </si>
  <si>
    <t xml:space="preserve">легкий пошив платьев</t>
  </si>
  <si>
    <t xml:space="preserve">пошить рубашку мужскую</t>
  </si>
  <si>
    <t xml:space="preserve">пошив брюк и костюмов</t>
  </si>
  <si>
    <t xml:space="preserve">стили пошива платьев</t>
  </si>
  <si>
    <t xml:space="preserve">пошив корсета платья</t>
  </si>
  <si>
    <t xml:space="preserve">пошив мужских брюк москва</t>
  </si>
  <si>
    <t xml:space="preserve">производство пошив платьев</t>
  </si>
  <si>
    <t xml:space="preserve">платье на заказ пошив спб</t>
  </si>
  <si>
    <t xml:space="preserve">платье +на заказ пошив спб</t>
  </si>
  <si>
    <t xml:space="preserve">пошив платьев нижний новгород</t>
  </si>
  <si>
    <t xml:space="preserve">пошив рукава рубашки</t>
  </si>
  <si>
    <t xml:space="preserve">раскрой и пошив брюк</t>
  </si>
  <si>
    <t xml:space="preserve">дефекты пошива брюк</t>
  </si>
  <si>
    <t xml:space="preserve">пошив платья дома</t>
  </si>
  <si>
    <t xml:space="preserve">пошив школьный брюк</t>
  </si>
  <si>
    <t xml:space="preserve">пошить платье самому</t>
  </si>
  <si>
    <t xml:space="preserve">порядок пошива брюк</t>
  </si>
  <si>
    <t xml:space="preserve">пошив платьев краснодар</t>
  </si>
  <si>
    <t xml:space="preserve">пошив платья воронеж</t>
  </si>
  <si>
    <t xml:space="preserve">договор пошива платья</t>
  </si>
  <si>
    <t xml:space="preserve">пошив платьев санкт петербург</t>
  </si>
  <si>
    <t xml:space="preserve">ночная рубашка пошив</t>
  </si>
  <si>
    <t xml:space="preserve">пошив брюк для женщин</t>
  </si>
  <si>
    <t xml:space="preserve">пошив брюк +для женщин</t>
  </si>
  <si>
    <t xml:space="preserve">пошив платьев екатеринбург</t>
  </si>
  <si>
    <t xml:space="preserve">спортивные платья пошив</t>
  </si>
  <si>
    <t xml:space="preserve">брюки пошив как джинсы</t>
  </si>
  <si>
    <t xml:space="preserve">для пошива платья снимают</t>
  </si>
  <si>
    <t xml:space="preserve">+для пошива платья снимают</t>
  </si>
  <si>
    <t xml:space="preserve">услуги пошив платья</t>
  </si>
  <si>
    <t xml:space="preserve">пошив национальных платьев</t>
  </si>
  <si>
    <t xml:space="preserve">пошив рубашки на заказ москва</t>
  </si>
  <si>
    <t xml:space="preserve">пошив рубашки +на заказ москва</t>
  </si>
  <si>
    <t xml:space="preserve">пошив брюк на заказ москва</t>
  </si>
  <si>
    <t xml:space="preserve">пошив брюк +на заказ москва</t>
  </si>
  <si>
    <t xml:space="preserve">пошив брюк время</t>
  </si>
  <si>
    <t xml:space="preserve">пошив рейтинговых платьев для танцев</t>
  </si>
  <si>
    <t xml:space="preserve">пошив рейтинговых платьев +для танцев</t>
  </si>
  <si>
    <t xml:space="preserve">прямой пошив платья</t>
  </si>
  <si>
    <t xml:space="preserve">мк по пошиву брюк</t>
  </si>
  <si>
    <t xml:space="preserve">мк +по пошиву брюк</t>
  </si>
  <si>
    <t xml:space="preserve">для пошива платьев взяли</t>
  </si>
  <si>
    <t xml:space="preserve">+для пошива платьев взяли</t>
  </si>
  <si>
    <t xml:space="preserve">пошив платья модной</t>
  </si>
  <si>
    <t xml:space="preserve">пошив платья инструкция</t>
  </si>
  <si>
    <t xml:space="preserve">пошить рубашку женскую</t>
  </si>
  <si>
    <t xml:space="preserve">платье пошив ребенок</t>
  </si>
  <si>
    <t xml:space="preserve">пошив шелкового платья</t>
  </si>
  <si>
    <t xml:space="preserve">минск пошив платья</t>
  </si>
  <si>
    <t xml:space="preserve">пошив платья новосибирск</t>
  </si>
  <si>
    <t xml:space="preserve">крой и пошив платья</t>
  </si>
  <si>
    <t xml:space="preserve">крой пошив брюк</t>
  </si>
  <si>
    <t xml:space="preserve">пошив брюк паукште</t>
  </si>
  <si>
    <t xml:space="preserve">пошив и раскрой платьев</t>
  </si>
  <si>
    <t xml:space="preserve">индивидуальный пошив платья на заказ</t>
  </si>
  <si>
    <t xml:space="preserve">индивидуальный пошив платья +на заказ</t>
  </si>
  <si>
    <t xml:space="preserve">чему снится пошив платья</t>
  </si>
  <si>
    <t xml:space="preserve">белое платье пошив</t>
  </si>
  <si>
    <t xml:space="preserve">пошить брюки на заказ</t>
  </si>
  <si>
    <t xml:space="preserve">пошить брюки +на заказ</t>
  </si>
  <si>
    <t xml:space="preserve">пошить женское платье</t>
  </si>
  <si>
    <t xml:space="preserve">платье черное пошив</t>
  </si>
  <si>
    <t xml:space="preserve">пошив юбки шорты</t>
  </si>
  <si>
    <t xml:space="preserve">пошив платья самаре</t>
  </si>
  <si>
    <t xml:space="preserve">пошить платье женщине</t>
  </si>
  <si>
    <t xml:space="preserve">свадьба пошив платья</t>
  </si>
  <si>
    <t xml:space="preserve">рассчитать пошив платья</t>
  </si>
  <si>
    <t xml:space="preserve">красиво пошитые платья</t>
  </si>
  <si>
    <t xml:space="preserve">пошив женских брюк спб</t>
  </si>
  <si>
    <t xml:space="preserve">пошив женских шортов</t>
  </si>
  <si>
    <t xml:space="preserve">платье пошив волгоград</t>
  </si>
  <si>
    <t xml:space="preserve">пошить платье просто</t>
  </si>
  <si>
    <t xml:space="preserve">пошив платьев латина</t>
  </si>
  <si>
    <t xml:space="preserve">манжета рубашки пошив</t>
  </si>
  <si>
    <t xml:space="preserve">пошив платьев в пол</t>
  </si>
  <si>
    <t xml:space="preserve">пошив платьев +в пол</t>
  </si>
  <si>
    <t xml:space="preserve">хлопок для пошива платья</t>
  </si>
  <si>
    <t xml:space="preserve">хлопок +для пошива платья</t>
  </si>
  <si>
    <t xml:space="preserve">платье сарафан пошив</t>
  </si>
  <si>
    <t xml:space="preserve">мужская рубашка пошив на заказ</t>
  </si>
  <si>
    <t xml:space="preserve">мужская рубашка пошив +на заказ</t>
  </si>
  <si>
    <t xml:space="preserve">пошив бокового кармана брюк</t>
  </si>
  <si>
    <t xml:space="preserve">пошив кожаных брюк</t>
  </si>
  <si>
    <t xml:space="preserve">пошив брюк из футера</t>
  </si>
  <si>
    <t xml:space="preserve">пошив брюк +из футера</t>
  </si>
  <si>
    <t xml:space="preserve">пошив брюк на заказ спб</t>
  </si>
  <si>
    <t xml:space="preserve">пошив брюк +на заказ спб</t>
  </si>
  <si>
    <t xml:space="preserve">пошив платья липецк</t>
  </si>
  <si>
    <t xml:space="preserve">домашнее платье пошив</t>
  </si>
  <si>
    <t xml:space="preserve">пошить платье фасон</t>
  </si>
  <si>
    <t xml:space="preserve">сертификат на пошив рубашки</t>
  </si>
  <si>
    <t xml:space="preserve">сертификат +на пошив рубашки</t>
  </si>
  <si>
    <t xml:space="preserve">пошить платье длинное</t>
  </si>
  <si>
    <t xml:space="preserve">выбрать платье для пошива</t>
  </si>
  <si>
    <t xml:space="preserve">выбрать платье +для пошива</t>
  </si>
  <si>
    <t xml:space="preserve">пошив платьев россия</t>
  </si>
  <si>
    <t xml:space="preserve">пошив мужской рубашки москва</t>
  </si>
  <si>
    <t xml:space="preserve">рубашка поло пошив</t>
  </si>
  <si>
    <t xml:space="preserve">пошив мужских брюк спб</t>
  </si>
  <si>
    <t xml:space="preserve">детский платье пошить</t>
  </si>
  <si>
    <t xml:space="preserve">пошив брюк мальчика</t>
  </si>
  <si>
    <t xml:space="preserve">пошив брюк женских на заказ</t>
  </si>
  <si>
    <t xml:space="preserve">пошив брюк женских +на заказ</t>
  </si>
  <si>
    <t xml:space="preserve">пошив платьев быстро</t>
  </si>
  <si>
    <t xml:space="preserve">пошив платья с длинным рукавом</t>
  </si>
  <si>
    <t xml:space="preserve">пошив платья +с длинным рукавом</t>
  </si>
  <si>
    <t xml:space="preserve">пошив платьев дорого</t>
  </si>
  <si>
    <t xml:space="preserve">пошить платье цены</t>
  </si>
  <si>
    <t xml:space="preserve">пошив пижамных брюк</t>
  </si>
  <si>
    <t xml:space="preserve">пошив брюк модели</t>
  </si>
  <si>
    <t xml:space="preserve">пошив брюк из кожи</t>
  </si>
  <si>
    <t xml:space="preserve">пошив брюк +из кожи</t>
  </si>
  <si>
    <t xml:space="preserve">пошив мужских спортивных брюк</t>
  </si>
  <si>
    <t xml:space="preserve">пошив домашних брюк</t>
  </si>
  <si>
    <t xml:space="preserve">пошив брюк минск</t>
  </si>
  <si>
    <t xml:space="preserve">пошив брюк екатеринбург</t>
  </si>
  <si>
    <t xml:space="preserve">юлия золотухина пошив платья рубашки</t>
  </si>
  <si>
    <t xml:space="preserve">платье пышное пошить</t>
  </si>
  <si>
    <t xml:space="preserve">пошив платья казань</t>
  </si>
  <si>
    <t xml:space="preserve">пошив детских нарядных платьев</t>
  </si>
  <si>
    <t xml:space="preserve">пошив праздничное платье</t>
  </si>
  <si>
    <t xml:space="preserve">мерки пошива рубашки</t>
  </si>
  <si>
    <t xml:space="preserve">пошив модных брюк</t>
  </si>
  <si>
    <t xml:space="preserve">пошив брюк с гульфиком</t>
  </si>
  <si>
    <t xml:space="preserve">пошив брюк +с гульфиком</t>
  </si>
  <si>
    <t xml:space="preserve">пошив брюк казань</t>
  </si>
  <si>
    <t xml:space="preserve">летний платье пошить</t>
  </si>
  <si>
    <t xml:space="preserve">пошив платьев тюмень</t>
  </si>
  <si>
    <t xml:space="preserve">оттяжка брюк при пошиве</t>
  </si>
  <si>
    <t xml:space="preserve">пошив платья симферополь</t>
  </si>
  <si>
    <t xml:space="preserve">быстро пошить платье</t>
  </si>
  <si>
    <t xml:space="preserve">пошив платьев уфа</t>
  </si>
  <si>
    <t xml:space="preserve">пошив платья шифона</t>
  </si>
  <si>
    <t xml:space="preserve">мк пошив рубашки</t>
  </si>
  <si>
    <t xml:space="preserve">пошив брюк краснодар</t>
  </si>
  <si>
    <t xml:space="preserve">пошив брюк вручную</t>
  </si>
  <si>
    <t xml:space="preserve">шорты мужские пошив</t>
  </si>
  <si>
    <t xml:space="preserve">пошив детских шортов</t>
  </si>
  <si>
    <t xml:space="preserve">пошив платья на подкладке</t>
  </si>
  <si>
    <t xml:space="preserve">пошив платья +на подкладке</t>
  </si>
  <si>
    <t xml:space="preserve">пошив прямых брюк</t>
  </si>
  <si>
    <t xml:space="preserve">пошив коротких платьев</t>
  </si>
  <si>
    <t xml:space="preserve">пошив платьев челябинск</t>
  </si>
  <si>
    <t xml:space="preserve">пошив платья 54</t>
  </si>
  <si>
    <t xml:space="preserve">бизнес платье пошив</t>
  </si>
  <si>
    <t xml:space="preserve">пошив летних брюк</t>
  </si>
  <si>
    <t xml:space="preserve">пошив платья пермь</t>
  </si>
  <si>
    <t xml:space="preserve">платье ростов пошить</t>
  </si>
  <si>
    <t xml:space="preserve">пошив платьев иркутск</t>
  </si>
  <si>
    <t xml:space="preserve">пошив рукава мужской рубашки</t>
  </si>
  <si>
    <t xml:space="preserve">брюки утепленные пошив</t>
  </si>
  <si>
    <t xml:space="preserve">москва пошив брюк женских</t>
  </si>
  <si>
    <t xml:space="preserve">пошить платье пошив платья</t>
  </si>
  <si>
    <t xml:space="preserve">печать дтф</t>
  </si>
  <si>
    <t xml:space="preserve">09 DTF-печать</t>
  </si>
  <si>
    <t xml:space="preserve">Услуги → Печать DTF</t>
  </si>
  <si>
    <t xml:space="preserve">сопутствующие</t>
  </si>
  <si>
    <t xml:space="preserve">дтф печать челябинск</t>
  </si>
  <si>
    <t xml:space="preserve">дтф печать на одежде</t>
  </si>
  <si>
    <t xml:space="preserve">дтф печать +на одежде</t>
  </si>
  <si>
    <t xml:space="preserve">печать дтф на футболках</t>
  </si>
  <si>
    <t xml:space="preserve">печать дтф +на футболках</t>
  </si>
  <si>
    <t xml:space="preserve">дтф печать оптом</t>
  </si>
  <si>
    <t xml:space="preserve">нанесение логотипа на одежду</t>
  </si>
  <si>
    <t xml:space="preserve">нанесение логотипа +на одежду</t>
  </si>
  <si>
    <t xml:space="preserve">нанесение логотипа на одежду оптом</t>
  </si>
  <si>
    <t xml:space="preserve">нанесение логотипа +на одежду оптом</t>
  </si>
  <si>
    <t xml:space="preserve">печать уф дтф наклеек</t>
  </si>
  <si>
    <t xml:space="preserve">дтф печать москва</t>
  </si>
  <si>
    <t xml:space="preserve">сделать дтф печать</t>
  </si>
  <si>
    <t xml:space="preserve">нанесение вышивки на одежду</t>
  </si>
  <si>
    <t xml:space="preserve">нанесение вышивки +на одежду</t>
  </si>
  <si>
    <t xml:space="preserve">дтф печать спб</t>
  </si>
  <si>
    <t xml:space="preserve">дтф печать заказать</t>
  </si>
  <si>
    <t xml:space="preserve">нанесение дтф печать</t>
  </si>
  <si>
    <t xml:space="preserve">нанесение логотипа на одежду спб</t>
  </si>
  <si>
    <t xml:space="preserve">нанесение логотипа +на одежду спб</t>
  </si>
  <si>
    <t xml:space="preserve">дтф печать краснодар</t>
  </si>
  <si>
    <t xml:space="preserve">дтф печать казань</t>
  </si>
  <si>
    <t xml:space="preserve">печать методом дтф</t>
  </si>
  <si>
    <t xml:space="preserve">дтф печать на заказ</t>
  </si>
  <si>
    <t xml:space="preserve">дтф печать +на заказ</t>
  </si>
  <si>
    <t xml:space="preserve">дтф печать стикеры</t>
  </si>
  <si>
    <t xml:space="preserve">уф стикеры дтф печать</t>
  </si>
  <si>
    <t xml:space="preserve">шелкография и дтф печать</t>
  </si>
  <si>
    <t xml:space="preserve">клей для дтф печати</t>
  </si>
  <si>
    <t xml:space="preserve">клей +для дтф печати</t>
  </si>
  <si>
    <t xml:space="preserve">дтф печать рулоном</t>
  </si>
  <si>
    <t xml:space="preserve">уф дтф печать спб</t>
  </si>
  <si>
    <t xml:space="preserve">срочная дтф печать</t>
  </si>
  <si>
    <t xml:space="preserve">нанесение логотипа на одежду москва</t>
  </si>
  <si>
    <t xml:space="preserve">нанесение логотипа +на одежду москва</t>
  </si>
  <si>
    <t xml:space="preserve">дтф печать на кружках</t>
  </si>
  <si>
    <t xml:space="preserve">дтф печать +на кружках</t>
  </si>
  <si>
    <t xml:space="preserve">дтф печать тверь</t>
  </si>
  <si>
    <t xml:space="preserve">минусы дтф печати</t>
  </si>
  <si>
    <t xml:space="preserve">дтф печать ростов</t>
  </si>
  <si>
    <t xml:space="preserve">вид печати дтф</t>
  </si>
  <si>
    <t xml:space="preserve">пресс для дтф печати</t>
  </si>
  <si>
    <t xml:space="preserve">пресс +для дтф печати</t>
  </si>
  <si>
    <t xml:space="preserve">дтф печать дома</t>
  </si>
  <si>
    <t xml:space="preserve">дтф печать метрами</t>
  </si>
  <si>
    <t xml:space="preserve">плюсы дтф печати</t>
  </si>
  <si>
    <t xml:space="preserve">дтф печать процесс</t>
  </si>
  <si>
    <t xml:space="preserve">чернила для дтф печати</t>
  </si>
  <si>
    <t xml:space="preserve">чернила +для дтф печати</t>
  </si>
  <si>
    <t xml:space="preserve">спортмастер нанесение логотипа на одежду</t>
  </si>
  <si>
    <t xml:space="preserve">спортмастер нанесение логотипа +на одежду</t>
  </si>
  <si>
    <t xml:space="preserve">дтф печать пермь</t>
  </si>
  <si>
    <t xml:space="preserve">дтф печать плюсы и минусы</t>
  </si>
  <si>
    <t xml:space="preserve">дтф печать уфа</t>
  </si>
  <si>
    <t xml:space="preserve">уф дтф печать уфа</t>
  </si>
  <si>
    <t xml:space="preserve">бумага для дтф печати</t>
  </si>
  <si>
    <t xml:space="preserve">бумага +для дтф печати</t>
  </si>
  <si>
    <t xml:space="preserve">дтф печать нижний новгород</t>
  </si>
  <si>
    <t xml:space="preserve">дтф печать на хлопке</t>
  </si>
  <si>
    <t xml:space="preserve">дтф печать +на хлопке</t>
  </si>
  <si>
    <t xml:space="preserve">вышивка дтф печать</t>
  </si>
  <si>
    <t xml:space="preserve">дтф уф печать</t>
  </si>
  <si>
    <t xml:space="preserve">печать дтф наклеек</t>
  </si>
  <si>
    <t xml:space="preserve">пленка для дтф печати</t>
  </si>
  <si>
    <t xml:space="preserve">пленка +для дтф печати</t>
  </si>
  <si>
    <t xml:space="preserve">пленка для уф дтф печати</t>
  </si>
  <si>
    <t xml:space="preserve">пленка +для уф дтф печати</t>
  </si>
  <si>
    <t xml:space="preserve">файл для дтф печати</t>
  </si>
  <si>
    <t xml:space="preserve">файл +для дтф печати</t>
  </si>
  <si>
    <t xml:space="preserve">термопресс для дтф печати</t>
  </si>
  <si>
    <t xml:space="preserve">термопресс +для дтф печати</t>
  </si>
  <si>
    <t xml:space="preserve">перенос дтф печати</t>
  </si>
  <si>
    <t xml:space="preserve">макеты для дтф печати</t>
  </si>
  <si>
    <t xml:space="preserve">макеты +для дтф печати</t>
  </si>
  <si>
    <t xml:space="preserve">дтф печать золотом</t>
  </si>
  <si>
    <t xml:space="preserve">ув дтф печать</t>
  </si>
  <si>
    <t xml:space="preserve">дтф печать екатеринбург</t>
  </si>
  <si>
    <t xml:space="preserve">дтф печать как выглядит</t>
  </si>
  <si>
    <t xml:space="preserve">сублимация или дтф печать</t>
  </si>
  <si>
    <t xml:space="preserve">дтф печать требования</t>
  </si>
  <si>
    <t xml:space="preserve">уф дтф печать екатеринбург</t>
  </si>
  <si>
    <t xml:space="preserve">вышивка на одежде челябинск</t>
  </si>
  <si>
    <t xml:space="preserve">10 Вышивка</t>
  </si>
  <si>
    <t xml:space="preserve">Услуги → Вышивка</t>
  </si>
  <si>
    <t xml:space="preserve">вышивка +на одежде челябинск</t>
  </si>
  <si>
    <t xml:space="preserve">вышивка на худи</t>
  </si>
  <si>
    <t xml:space="preserve">вышивка +на худи</t>
  </si>
  <si>
    <t xml:space="preserve">вышивка на одежде</t>
  </si>
  <si>
    <t xml:space="preserve">вышивка +на одежде</t>
  </si>
  <si>
    <t xml:space="preserve">машинная вышивка на одежде</t>
  </si>
  <si>
    <t xml:space="preserve">машинная вышивка +на одежде</t>
  </si>
  <si>
    <t xml:space="preserve">вышивка логотипа на одежде</t>
  </si>
  <si>
    <t xml:space="preserve">вышивка логотипа +на одежде</t>
  </si>
  <si>
    <t xml:space="preserve">вышивка на одежде оптом</t>
  </si>
  <si>
    <t xml:space="preserve">вышивка +на одежде оптом</t>
  </si>
  <si>
    <t xml:space="preserve">машинная вышивка на заказ</t>
  </si>
  <si>
    <t xml:space="preserve">машинная вышивка +на заказ</t>
  </si>
  <si>
    <t xml:space="preserve">машинная вышивка услуги</t>
  </si>
  <si>
    <t xml:space="preserve">машинная вышивка логотипов</t>
  </si>
  <si>
    <t xml:space="preserve">заказать машинную вышивку</t>
  </si>
  <si>
    <t xml:space="preserve">вышивка на одежде под заказ</t>
  </si>
  <si>
    <t xml:space="preserve">вышивка +на одежде +под заказ</t>
  </si>
  <si>
    <t xml:space="preserve">машинная вышивка на заказ москва</t>
  </si>
  <si>
    <t xml:space="preserve">машинная вышивка +на заказ москва</t>
  </si>
  <si>
    <t xml:space="preserve">вышивка на заказ самара одежде</t>
  </si>
  <si>
    <t xml:space="preserve">вышивка +на заказ самара одежде</t>
  </si>
  <si>
    <t xml:space="preserve">вышивка на одежде на заказ</t>
  </si>
  <si>
    <t xml:space="preserve">вышивка +на одежде +на заказ</t>
  </si>
  <si>
    <t xml:space="preserve">вышивка на футболках на заказ</t>
  </si>
  <si>
    <t xml:space="preserve">вышивка +на футболках +на заказ</t>
  </si>
  <si>
    <t xml:space="preserve">вышивка бренда на одежде</t>
  </si>
  <si>
    <t xml:space="preserve">вышивка бренда +на одежде</t>
  </si>
  <si>
    <t xml:space="preserve">заказать вышивку на одежде</t>
  </si>
  <si>
    <t xml:space="preserve">заказать вышивку +на одежде</t>
  </si>
  <si>
    <t xml:space="preserve">услуги вышивки на одежде</t>
  </si>
  <si>
    <t xml:space="preserve">услуги вышивки +на одежде</t>
  </si>
  <si>
    <t xml:space="preserve">печать на одежде вышивка</t>
  </si>
  <si>
    <t xml:space="preserve">печать +на одежде вышивка</t>
  </si>
  <si>
    <t xml:space="preserve">этикетки для одежды</t>
  </si>
  <si>
    <t xml:space="preserve">11 Бирки / этикетки / составы</t>
  </si>
  <si>
    <t xml:space="preserve">Услуги → Бирки и упаковка</t>
  </si>
  <si>
    <t xml:space="preserve">этикетки +для одежды</t>
  </si>
  <si>
    <t xml:space="preserve">индивидуальная упаковка для одежды</t>
  </si>
  <si>
    <t xml:space="preserve">индивидуальная упаковка +для одежды</t>
  </si>
  <si>
    <t xml:space="preserve">упаковка для одежды</t>
  </si>
  <si>
    <t xml:space="preserve">упаковка +для одежды</t>
  </si>
  <si>
    <t xml:space="preserve">упаковка одежды для маркетплейсов</t>
  </si>
  <si>
    <t xml:space="preserve">упаковка одежды +для маркетплейсов</t>
  </si>
  <si>
    <t xml:space="preserve">бирка с составом для одежды</t>
  </si>
  <si>
    <t xml:space="preserve">бирка +с составом +для одежды</t>
  </si>
  <si>
    <t xml:space="preserve">печать составников</t>
  </si>
  <si>
    <t xml:space="preserve">бирки на одежду заказать</t>
  </si>
  <si>
    <t xml:space="preserve">бирки +на одежду заказать</t>
  </si>
  <si>
    <t xml:space="preserve">бирки для одежды</t>
  </si>
  <si>
    <t xml:space="preserve">бирки +для одежды</t>
  </si>
  <si>
    <t xml:space="preserve">изготовление бирок для одежды</t>
  </si>
  <si>
    <t xml:space="preserve">изготовление бирок +для одежды</t>
  </si>
  <si>
    <t xml:space="preserve">составники для одежды</t>
  </si>
  <si>
    <t xml:space="preserve">составники +для одежды</t>
  </si>
  <si>
    <t xml:space="preserve">бирка для одежды заказать</t>
  </si>
  <si>
    <t xml:space="preserve">бирка +для одежды заказать</t>
  </si>
  <si>
    <t xml:space="preserve">бирка для одежды с логотипом</t>
  </si>
  <si>
    <t xml:space="preserve">бирка +для одежды +с логотипом</t>
  </si>
  <si>
    <t xml:space="preserve">этикетки для одежды на заказ</t>
  </si>
  <si>
    <t xml:space="preserve">этикетки +для одежды +на заказ</t>
  </si>
  <si>
    <t xml:space="preserve">бирка для одежды жаккардовая</t>
  </si>
  <si>
    <t xml:space="preserve">бирка +для одежды жаккардовая</t>
  </si>
  <si>
    <t xml:space="preserve">тканевая бирка для одежды</t>
  </si>
  <si>
    <t xml:space="preserve">тканевая бирка +для одежды</t>
  </si>
  <si>
    <t xml:space="preserve">метки этикетки для одежды</t>
  </si>
  <si>
    <t xml:space="preserve">метки этикетки +для одежды</t>
  </si>
  <si>
    <t xml:space="preserve">именные бирки для одежды</t>
  </si>
  <si>
    <t xml:space="preserve">именные бирки +для одежды</t>
  </si>
  <si>
    <t xml:space="preserve">картонная бирка для одежды</t>
  </si>
  <si>
    <t xml:space="preserve">картонная бирка +для одежды</t>
  </si>
  <si>
    <t xml:space="preserve">пришивные бирки для одежды</t>
  </si>
  <si>
    <t xml:space="preserve">пришивные бирки +для одежды</t>
  </si>
  <si>
    <t xml:space="preserve">печать этикеток для одежды</t>
  </si>
  <si>
    <t xml:space="preserve">печать этикеток +для одежды</t>
  </si>
  <si>
    <t xml:space="preserve">силиконовые бирки для одежды</t>
  </si>
  <si>
    <t xml:space="preserve">силиконовые бирки +для одежды</t>
  </si>
  <si>
    <t xml:space="preserve">бирки для одежды со своим</t>
  </si>
  <si>
    <t xml:space="preserve">бирки +для одежды со своим</t>
  </si>
  <si>
    <t xml:space="preserve">пистолет для этикеток на одежду</t>
  </si>
  <si>
    <t xml:space="preserve">пистолет +для этикеток +на одежду</t>
  </si>
  <si>
    <t xml:space="preserve">бирки для одежды спб</t>
  </si>
  <si>
    <t xml:space="preserve">бирки +для одежды спб</t>
  </si>
  <si>
    <t xml:space="preserve">заказать этикетки для одежды</t>
  </si>
  <si>
    <t xml:space="preserve">заказать этикетки +для одежды</t>
  </si>
  <si>
    <t xml:space="preserve">бирки этикетки для одежды</t>
  </si>
  <si>
    <t xml:space="preserve">бирки этикетки +для одежды</t>
  </si>
  <si>
    <t xml:space="preserve">этикетки для детской одежды</t>
  </si>
  <si>
    <t xml:space="preserve">этикетки +для детской одежды</t>
  </si>
  <si>
    <t xml:space="preserve">вшивные бирки для одежды</t>
  </si>
  <si>
    <t xml:space="preserve">вшивные бирки +для одежды</t>
  </si>
  <si>
    <t xml:space="preserve">сатиновые бирки для одежды</t>
  </si>
  <si>
    <t xml:space="preserve">сатиновые бирки +для одежды</t>
  </si>
  <si>
    <t xml:space="preserve">тканевые этикетки для одежды</t>
  </si>
  <si>
    <t xml:space="preserve">тканевые этикетки +для одежды</t>
  </si>
  <si>
    <t xml:space="preserve">навесные бирки для одежды</t>
  </si>
  <si>
    <t xml:space="preserve">навесные бирки +для одежды</t>
  </si>
  <si>
    <t xml:space="preserve">бирка для одежды москва</t>
  </si>
  <si>
    <t xml:space="preserve">бирка +для одежды москва</t>
  </si>
  <si>
    <t xml:space="preserve">печать составников для одежды</t>
  </si>
  <si>
    <t xml:space="preserve">печать составников +для одежды</t>
  </si>
  <si>
    <t xml:space="preserve">бирки для маркировки одежды</t>
  </si>
  <si>
    <t xml:space="preserve">бирки +для маркировки одежды</t>
  </si>
  <si>
    <t xml:space="preserve">размеры этикеток для одежды</t>
  </si>
  <si>
    <t xml:space="preserve">размеры этикеток +для одежды</t>
  </si>
  <si>
    <t xml:space="preserve">бумажные бирки для одежды</t>
  </si>
  <si>
    <t xml:space="preserve">бумажные бирки +для одежды</t>
  </si>
  <si>
    <t xml:space="preserve">вшивные этикетки для одежды</t>
  </si>
  <si>
    <t xml:space="preserve">вшивные этикетки +для одежды</t>
  </si>
  <si>
    <t xml:space="preserve">металлические бирки для одежды</t>
  </si>
  <si>
    <t xml:space="preserve">металлические бирки +для одежды</t>
  </si>
  <si>
    <t xml:space="preserve">этикетка для маркировки одежды</t>
  </si>
  <si>
    <t xml:space="preserve">этикетка +для маркировки одежды</t>
  </si>
  <si>
    <t xml:space="preserve">шаблон этикетки для одежды</t>
  </si>
  <si>
    <t xml:space="preserve">шаблон этикетки +для одежды</t>
  </si>
  <si>
    <t xml:space="preserve">бирка для одежды макет</t>
  </si>
  <si>
    <t xml:space="preserve">бирка +для одежды макет</t>
  </si>
  <si>
    <t xml:space="preserve">пришивная этикетка для одежды</t>
  </si>
  <si>
    <t xml:space="preserve">пришивная этикетка +для одежды</t>
  </si>
  <si>
    <t xml:space="preserve">бирки для одежды на заказ</t>
  </si>
  <si>
    <t xml:space="preserve">бирки +для одежды +на заказ</t>
  </si>
  <si>
    <t xml:space="preserve">бирка для детской одежды</t>
  </si>
  <si>
    <t xml:space="preserve">бирка +для детской одежды</t>
  </si>
  <si>
    <t xml:space="preserve">бирки для одежды что значат</t>
  </si>
  <si>
    <t xml:space="preserve">бирки +для одежды что значат</t>
  </si>
  <si>
    <t xml:space="preserve">пластиковые бирки для одежды</t>
  </si>
  <si>
    <t xml:space="preserve">пластиковые бирки +для одежды</t>
  </si>
  <si>
    <t xml:space="preserve">бирки для бренда одежды</t>
  </si>
  <si>
    <t xml:space="preserve">бирки +для бренда одежды</t>
  </si>
  <si>
    <t xml:space="preserve">бирки ярлыки для одежды</t>
  </si>
  <si>
    <t xml:space="preserve">бирки ярлыки +для одежды</t>
  </si>
  <si>
    <t xml:space="preserve">пломба для бирки одежды</t>
  </si>
  <si>
    <t xml:space="preserve">пломба +для бирки одежды</t>
  </si>
  <si>
    <t xml:space="preserve">бирки для подписи одежды</t>
  </si>
  <si>
    <t xml:space="preserve">бирки +для подписи одежды</t>
  </si>
  <si>
    <t xml:space="preserve">размеры бирки для одежды</t>
  </si>
  <si>
    <t xml:space="preserve">размеры бирки +для одежды</t>
  </si>
  <si>
    <t xml:space="preserve">термо бирки для одежды</t>
  </si>
  <si>
    <t xml:space="preserve">термо бирки +для одежды</t>
  </si>
  <si>
    <t xml:space="preserve">мокап бирки для одежды</t>
  </si>
  <si>
    <t xml:space="preserve">мокап бирки +для одежды</t>
  </si>
  <si>
    <t xml:space="preserve">дизайн бирки для одежды</t>
  </si>
  <si>
    <t xml:space="preserve">дизайн бирки +для одежды</t>
  </si>
  <si>
    <t xml:space="preserve">лекала для одежды</t>
  </si>
  <si>
    <t xml:space="preserve">12 Лекала / конструктор / технолог</t>
  </si>
  <si>
    <t xml:space="preserve">Услуги → Конструкторское бюро</t>
  </si>
  <si>
    <t xml:space="preserve">лекала +для одежды</t>
  </si>
  <si>
    <t xml:space="preserve">разработка коллекции одежды</t>
  </si>
  <si>
    <t xml:space="preserve">технолог по пошиву одежды</t>
  </si>
  <si>
    <t xml:space="preserve">технолог +по пошиву одежды</t>
  </si>
  <si>
    <t xml:space="preserve">разработка лекал</t>
  </si>
  <si>
    <t xml:space="preserve">технический пакет одежды</t>
  </si>
  <si>
    <t xml:space="preserve">конструктор одежды</t>
  </si>
  <si>
    <t xml:space="preserve">заказать лекала одежды</t>
  </si>
  <si>
    <t xml:space="preserve">градация лекал</t>
  </si>
  <si>
    <t xml:space="preserve">лекала для пошива одежды</t>
  </si>
  <si>
    <t xml:space="preserve">лекала +для пошива одежды</t>
  </si>
  <si>
    <t xml:space="preserve">лекала швейного производства</t>
  </si>
  <si>
    <t xml:space="preserve">лекало для шитья одежды</t>
  </si>
  <si>
    <t xml:space="preserve">лекало +для шитья одежды</t>
  </si>
  <si>
    <t xml:space="preserve">градация лекал по размерам</t>
  </si>
  <si>
    <t xml:space="preserve">градация лекал +по размерам</t>
  </si>
  <si>
    <t xml:space="preserve">конструктор лекал одежды</t>
  </si>
  <si>
    <t xml:space="preserve">создание лекал для одежды</t>
  </si>
  <si>
    <t xml:space="preserve">создание лекал +для одежды</t>
  </si>
  <si>
    <t xml:space="preserve">разработка лекала для одежды</t>
  </si>
  <si>
    <t xml:space="preserve">разработка лекала +для одежды</t>
  </si>
  <si>
    <t xml:space="preserve">построение лекал для одежды</t>
  </si>
  <si>
    <t xml:space="preserve">построение лекал +для одежды</t>
  </si>
  <si>
    <t xml:space="preserve">производство лекал одежды</t>
  </si>
  <si>
    <t xml:space="preserve">сделать градацию лекал</t>
  </si>
  <si>
    <t xml:space="preserve">готовые лекала для одежды</t>
  </si>
  <si>
    <t xml:space="preserve">готовые лекала +для одежды</t>
  </si>
  <si>
    <t xml:space="preserve">лекала для женской одежды</t>
  </si>
  <si>
    <t xml:space="preserve">лекала +для женской одежды</t>
  </si>
  <si>
    <t xml:space="preserve">готовые лекала для пошива одежды</t>
  </si>
  <si>
    <t xml:space="preserve">готовые лекала +для пошива одежды</t>
  </si>
  <si>
    <t xml:space="preserve">конструктор для лекала одежды</t>
  </si>
  <si>
    <t xml:space="preserve">конструктор +для лекала одежды</t>
  </si>
  <si>
    <t xml:space="preserve">сделать лекала для одежды</t>
  </si>
  <si>
    <t xml:space="preserve">сделать лекала +для одежды</t>
  </si>
  <si>
    <t xml:space="preserve">лекала для производства одежды</t>
  </si>
  <si>
    <t xml:space="preserve">лекала +для производства одежды</t>
  </si>
  <si>
    <t xml:space="preserve">построение лекал для шитья одежды</t>
  </si>
  <si>
    <t xml:space="preserve">построение лекал +для шитья одежды</t>
  </si>
  <si>
    <t xml:space="preserve">лекал для детской одежды</t>
  </si>
  <si>
    <t xml:space="preserve">лекал +для детской одежды</t>
  </si>
  <si>
    <t xml:space="preserve">лекало одежды для кукол</t>
  </si>
  <si>
    <t xml:space="preserve">лекало одежды +для кукол</t>
  </si>
  <si>
    <t xml:space="preserve">изготовление лекала для одежды</t>
  </si>
  <si>
    <t xml:space="preserve">изготовление лекала +для одежды</t>
  </si>
  <si>
    <t xml:space="preserve">градация лекал брюк</t>
  </si>
  <si>
    <t xml:space="preserve">лекала для пошива женских одежды</t>
  </si>
  <si>
    <t xml:space="preserve">лекала +для пошива женских одежды</t>
  </si>
  <si>
    <t xml:space="preserve">пошив платья лекало</t>
  </si>
  <si>
    <t xml:space="preserve">стоимость пошива худи</t>
  </si>
  <si>
    <t xml:space="preserve">13 Цена / расчёт</t>
  </si>
  <si>
    <t xml:space="preserve">Прайс с калькулятором</t>
  </si>
  <si>
    <t xml:space="preserve">цена пошива одежды</t>
  </si>
  <si>
    <t xml:space="preserve">прайс на пошив одежды</t>
  </si>
  <si>
    <t xml:space="preserve">прайс +на пошив одежды</t>
  </si>
  <si>
    <t xml:space="preserve">расчет стоимости пошива одежды</t>
  </si>
  <si>
    <t xml:space="preserve">сколько стоит пошив партии одежды</t>
  </si>
  <si>
    <t xml:space="preserve">калькулятор пошива одежды</t>
  </si>
  <si>
    <t xml:space="preserve">стоимость пошива одежды оптом</t>
  </si>
  <si>
    <t xml:space="preserve">пошив платья цена</t>
  </si>
  <si>
    <t xml:space="preserve">платье пошить сколько</t>
  </si>
  <si>
    <t xml:space="preserve">сколько стоит пошив брюк</t>
  </si>
  <si>
    <t xml:space="preserve">пошив брюк цена</t>
  </si>
  <si>
    <t xml:space="preserve">сколько стоит пошить платье</t>
  </si>
  <si>
    <t xml:space="preserve">стоимость пошива платья</t>
  </si>
  <si>
    <t xml:space="preserve">сколько стоит пошив одежды</t>
  </si>
  <si>
    <t xml:space="preserve">стоимость пошива одежды</t>
  </si>
  <si>
    <t xml:space="preserve">стоимость швейного производства</t>
  </si>
  <si>
    <t xml:space="preserve">платье сколько за пошив</t>
  </si>
  <si>
    <t xml:space="preserve">платье сколько +за пошив</t>
  </si>
  <si>
    <t xml:space="preserve">стоимость пошива брюк</t>
  </si>
  <si>
    <t xml:space="preserve">сколько стоит пошить брюки</t>
  </si>
  <si>
    <t xml:space="preserve">сколько машинная вышивка</t>
  </si>
  <si>
    <t xml:space="preserve">прайс лист на пошив одежды</t>
  </si>
  <si>
    <t xml:space="preserve">прайс лист +на пошив одежды</t>
  </si>
  <si>
    <t xml:space="preserve">стоимость производства одежды</t>
  </si>
  <si>
    <t xml:space="preserve">сколько стоит швейное производство</t>
  </si>
  <si>
    <t xml:space="preserve">пошив брюк мужских цена</t>
  </si>
  <si>
    <t xml:space="preserve">пошив платья на заказ цена</t>
  </si>
  <si>
    <t xml:space="preserve">пошив платья +на заказ цена</t>
  </si>
  <si>
    <t xml:space="preserve">машинная вышивка цена</t>
  </si>
  <si>
    <t xml:space="preserve">сколько стоит машинная вышивка</t>
  </si>
  <si>
    <t xml:space="preserve">стоимость машинной вышивки</t>
  </si>
  <si>
    <t xml:space="preserve">сколько стоит пошив рубашки</t>
  </si>
  <si>
    <t xml:space="preserve">сколько стоит пошив брюк женских</t>
  </si>
  <si>
    <t xml:space="preserve">сколько стоит пошив мужских брюк</t>
  </si>
  <si>
    <t xml:space="preserve">пошив рубашки стоимость</t>
  </si>
  <si>
    <t xml:space="preserve">пошив брюк женских цена</t>
  </si>
  <si>
    <t xml:space="preserve">швейный цех цена</t>
  </si>
  <si>
    <t xml:space="preserve">цена пошива рубашки</t>
  </si>
  <si>
    <t xml:space="preserve">сколько стоит пошить рубашку</t>
  </si>
  <si>
    <t xml:space="preserve">сколько стоит швейный цех</t>
  </si>
  <si>
    <t xml:space="preserve">стоимость вышивки на одежде</t>
  </si>
  <si>
    <t xml:space="preserve">стоимость вышивки +на одежде</t>
  </si>
  <si>
    <t xml:space="preserve">пошив мужских брюк стоимость</t>
  </si>
  <si>
    <t xml:space="preserve">стоимость индивидуального пошива одежды</t>
  </si>
  <si>
    <t xml:space="preserve">пошив женских брюк стоимость</t>
  </si>
  <si>
    <t xml:space="preserve">пошив брюк на заказ цена</t>
  </si>
  <si>
    <t xml:space="preserve">пошив брюк +на заказ цена</t>
  </si>
  <si>
    <t xml:space="preserve">пошить брюки цена</t>
  </si>
  <si>
    <t xml:space="preserve">как рассчитать стоимость машинной вышивки</t>
  </si>
  <si>
    <t xml:space="preserve">сколько зарабатывает конструктор одежды</t>
  </si>
  <si>
    <t xml:space="preserve">сколько стоит пошив худи</t>
  </si>
  <si>
    <t xml:space="preserve">стоимость пошива платья на заказ</t>
  </si>
  <si>
    <t xml:space="preserve">стоимость пошива платья +на заказ</t>
  </si>
  <si>
    <t xml:space="preserve">сколько стоит дтф печать</t>
  </si>
  <si>
    <t xml:space="preserve">дтф печать цена</t>
  </si>
  <si>
    <t xml:space="preserve">вышивка на одежде цена</t>
  </si>
  <si>
    <t xml:space="preserve">вышивка +на одежде цена</t>
  </si>
  <si>
    <t xml:space="preserve">сколько стоит вышивка на одежде</t>
  </si>
  <si>
    <t xml:space="preserve">сколько стоит вышивка +на одежде</t>
  </si>
  <si>
    <t xml:space="preserve">сколько стоит пошив платья</t>
  </si>
  <si>
    <t xml:space="preserve">стоимость дтф печати</t>
  </si>
  <si>
    <t xml:space="preserve">как выбрать швейное производство</t>
  </si>
  <si>
    <t xml:space="preserve">14 Информационные (блог)</t>
  </si>
  <si>
    <t xml:space="preserve">Блог / статьи</t>
  </si>
  <si>
    <t xml:space="preserve">информационные</t>
  </si>
  <si>
    <t xml:space="preserve">SEO / блог</t>
  </si>
  <si>
    <t xml:space="preserve">Информационный запрос: статья блога, не рекламная фраза</t>
  </si>
  <si>
    <t xml:space="preserve">где отшить партию одежды</t>
  </si>
  <si>
    <t xml:space="preserve">с чего начать свой бренд одежды</t>
  </si>
  <si>
    <t xml:space="preserve">+с чего начать свой бренд одежды</t>
  </si>
  <si>
    <t xml:space="preserve">как найти производство одежды</t>
  </si>
  <si>
    <t xml:space="preserve">как запустить бренд одежды</t>
  </si>
  <si>
    <t xml:space="preserve">как заказать пошив партии одежды</t>
  </si>
  <si>
    <t xml:space="preserve">где пошив одежды</t>
  </si>
  <si>
    <t xml:space="preserve">где пошить одежду</t>
  </si>
  <si>
    <t xml:space="preserve">как делать градацию лекал</t>
  </si>
  <si>
    <t xml:space="preserve">где пошить брюки</t>
  </si>
  <si>
    <t xml:space="preserve">где пошить платье</t>
  </si>
  <si>
    <t xml:space="preserve">как правильно пошить брюки</t>
  </si>
  <si>
    <t xml:space="preserve">как делать дтф печать</t>
  </si>
  <si>
    <t xml:space="preserve">как снять дтф печать</t>
  </si>
  <si>
    <t xml:space="preserve">где можно пошить платье</t>
  </si>
  <si>
    <t xml:space="preserve">какие можно пошить платья</t>
  </si>
  <si>
    <t xml:space="preserve">где можно пошить брюки</t>
  </si>
  <si>
    <t xml:space="preserve">как сделать бирки для одежды</t>
  </si>
  <si>
    <t xml:space="preserve">как сделать бирки +для одежды</t>
  </si>
  <si>
    <t xml:space="preserve">seyter</t>
  </si>
  <si>
    <t xml:space="preserve">15 Конкуренты</t>
  </si>
  <si>
    <t xml:space="preserve">— (отдельная кампания, низкий приоритет)</t>
  </si>
  <si>
    <t xml:space="preserve">конкуренты</t>
  </si>
  <si>
    <t xml:space="preserve">Отдельно</t>
  </si>
  <si>
    <t xml:space="preserve">Название конкурента, отдельная кампания с малой ставкой, смотреть статистику</t>
  </si>
  <si>
    <t xml:space="preserve">текстильдом</t>
  </si>
  <si>
    <t xml:space="preserve">фабрик челябинск</t>
  </si>
  <si>
    <t xml:space="preserve">октопус челябинск</t>
  </si>
  <si>
    <t xml:space="preserve">маррини челябинск</t>
  </si>
  <si>
    <t xml:space="preserve">швейная фабрика пошив</t>
  </si>
  <si>
    <t xml:space="preserve">швейная фабрика заказы</t>
  </si>
  <si>
    <t xml:space="preserve">швейный цех пошив</t>
  </si>
  <si>
    <t xml:space="preserve">ателье челябинск</t>
  </si>
  <si>
    <t xml:space="preserve">16 Нецелевые (проверка минус-слов)</t>
  </si>
  <si>
    <t xml:space="preserve">— (в минус)</t>
  </si>
  <si>
    <t xml:space="preserve">нецелевые</t>
  </si>
  <si>
    <t xml:space="preserve">Минус</t>
  </si>
  <si>
    <t xml:space="preserve">—</t>
  </si>
  <si>
    <t xml:space="preserve">Нецелевая фраза (минус-слово: ателье)</t>
  </si>
  <si>
    <t xml:space="preserve">швейная машинка</t>
  </si>
  <si>
    <t xml:space="preserve">Нецелевая фраза (минус-слово: швейная машинка)</t>
  </si>
  <si>
    <t xml:space="preserve">как открыть швейный цех</t>
  </si>
  <si>
    <t xml:space="preserve">Нецелевая фраза (минус-слово: как открыть)</t>
  </si>
  <si>
    <t xml:space="preserve">бизнес план швейный цех</t>
  </si>
  <si>
    <t xml:space="preserve">Нецелевая фраза (минус-слово: бизнес план)</t>
  </si>
  <si>
    <t xml:space="preserve">пошив штор</t>
  </si>
  <si>
    <t xml:space="preserve">Нецелевая фраза (минус-слово: —)</t>
  </si>
  <si>
    <t xml:space="preserve">швея вакансии челябинск</t>
  </si>
  <si>
    <t xml:space="preserve">Нецелевая фраза (минус-слово: вакансия)</t>
  </si>
  <si>
    <t xml:space="preserve">ремонт одежды челябинск</t>
  </si>
  <si>
    <t xml:space="preserve">Нецелевая фраза (минус-слово: ремонт)</t>
  </si>
  <si>
    <t xml:space="preserve">курсы кройки и шитья</t>
  </si>
  <si>
    <t xml:space="preserve">Нецелевая фраза (минус-слово: курсы)</t>
  </si>
  <si>
    <t xml:space="preserve">пошив одежды на заказ в ателье</t>
  </si>
  <si>
    <t xml:space="preserve">пошив одежды выкройки</t>
  </si>
  <si>
    <t xml:space="preserve">Нецелевая фраза (минус-слово: выкройка)</t>
  </si>
  <si>
    <t xml:space="preserve">пошив одежды для собак</t>
  </si>
  <si>
    <t xml:space="preserve">Нецелевая фраза (минус-слово: собак)</t>
  </si>
  <si>
    <t xml:space="preserve">пошив школьной формы</t>
  </si>
  <si>
    <t xml:space="preserve">пошив спецодежды</t>
  </si>
  <si>
    <t xml:space="preserve">Нецелевая фраза (минус-слово: спецодежда)</t>
  </si>
  <si>
    <t xml:space="preserve">пошив рабочей одежды оптом</t>
  </si>
  <si>
    <t xml:space="preserve">пошив одежды москва</t>
  </si>
  <si>
    <t xml:space="preserve">17 Другие города (расширение географии)</t>
  </si>
  <si>
    <t xml:space="preserve">Страницы городов (позже)</t>
  </si>
  <si>
    <t xml:space="preserve">гео</t>
  </si>
  <si>
    <t xml:space="preserve">Позже</t>
  </si>
  <si>
    <t xml:space="preserve">Другой город: учтём при расширении географии, для Челябинска не берём</t>
  </si>
  <si>
    <t xml:space="preserve">пошив одежды спб</t>
  </si>
  <si>
    <t xml:space="preserve">пошив одежды екатеринбург</t>
  </si>
  <si>
    <t xml:space="preserve">пошив одежды краснодар</t>
  </si>
  <si>
    <t xml:space="preserve">пошив одежды новосибирск</t>
  </si>
  <si>
    <t xml:space="preserve">пошив одежды ростов</t>
  </si>
  <si>
    <t xml:space="preserve">пошив одежды на заказ спб</t>
  </si>
  <si>
    <t xml:space="preserve">пошив одежды +на заказ спб</t>
  </si>
  <si>
    <t xml:space="preserve">пошив одежды самара</t>
  </si>
  <si>
    <t xml:space="preserve">пошив одежды петербург</t>
  </si>
  <si>
    <t xml:space="preserve">пошив одежды санкт</t>
  </si>
  <si>
    <t xml:space="preserve">пошив одежды санкт петербург</t>
  </si>
  <si>
    <t xml:space="preserve">пошив одежды ростов на дону</t>
  </si>
  <si>
    <t xml:space="preserve">пошив одежды ростов +на дону</t>
  </si>
  <si>
    <t xml:space="preserve">пошив одежды воронеж</t>
  </si>
  <si>
    <t xml:space="preserve">пошив одежды уфа</t>
  </si>
  <si>
    <t xml:space="preserve">пошив одежды казань</t>
  </si>
  <si>
    <t xml:space="preserve">пошив одежды оренбург</t>
  </si>
  <si>
    <t xml:space="preserve">женский одежда пошив москва</t>
  </si>
  <si>
    <t xml:space="preserve">омск пошив одежды</t>
  </si>
  <si>
    <t xml:space="preserve">пошив одежды москва опт</t>
  </si>
  <si>
    <t xml:space="preserve">пошив одежды на заказ екатеринбург</t>
  </si>
  <si>
    <t xml:space="preserve">пошив одежды +на заказ екатеринбург</t>
  </si>
  <si>
    <t xml:space="preserve">пошив одежды на заказ ростов</t>
  </si>
  <si>
    <t xml:space="preserve">пошив одежды +на заказ ростов</t>
  </si>
  <si>
    <t xml:space="preserve">пошив одежды на заказ краснодар</t>
  </si>
  <si>
    <t xml:space="preserve">пошив одежды +на заказ краснодар</t>
  </si>
  <si>
    <t xml:space="preserve">пошив рубашек спб</t>
  </si>
  <si>
    <t xml:space="preserve">пошив одежды на заказ воронеж</t>
  </si>
  <si>
    <t xml:space="preserve">пошив одежды +на заказ воронеж</t>
  </si>
  <si>
    <t xml:space="preserve">пошив одежды на заказ уфа</t>
  </si>
  <si>
    <t xml:space="preserve">пошив одежды +на заказ уфа</t>
  </si>
  <si>
    <t xml:space="preserve">Фраз</t>
  </si>
  <si>
    <t xml:space="preserve">РФ, широкая (макс. по кластеру)</t>
  </si>
  <si>
    <t xml:space="preserve">Челябинская обл., точная (сумма)</t>
  </si>
  <si>
    <t xml:space="preserve">Фраз с точной частотой</t>
  </si>
  <si>
    <t xml:space="preserve">Доля фраз приоритета A</t>
  </si>
  <si>
    <t xml:space="preserve">Фраз приоритета A</t>
  </si>
  <si>
    <t xml:space="preserve">H1 страницы (черновик)</t>
  </si>
  <si>
    <t xml:space="preserve">Минус-слова кластера (добавить к общим)</t>
  </si>
  <si>
    <t xml:space="preserve">Швейное производство в Челябинске: пошив партий для брендов и селлеров</t>
  </si>
  <si>
    <t xml:space="preserve">Пошив одежды оптом в Челябинске от 300 единиц</t>
  </si>
  <si>
    <t xml:space="preserve">Пошив одежды для Wildberries и Ozon: партии под ключ</t>
  </si>
  <si>
    <t xml:space="preserve">Пошив одежды для брендов: малые партии и коллекции</t>
  </si>
  <si>
    <t xml:space="preserve">Пошив образца одежды за 2-3 дня: экспериментальный цех</t>
  </si>
  <si>
    <t xml:space="preserve">Пошив из давальческого сырья в Челябинске</t>
  </si>
  <si>
    <t xml:space="preserve">Пошив худи, свитшотов и толстовок оптом</t>
  </si>
  <si>
    <t xml:space="preserve">-мужские -женские -купить -розница -авито</t>
  </si>
  <si>
    <t xml:space="preserve">Пошив платьев, рубашек, брюк и шорт партиями</t>
  </si>
  <si>
    <t xml:space="preserve">DTF-печать на одежде для вашего бренда</t>
  </si>
  <si>
    <t xml:space="preserve">-футболки -кружки -баннеры -стекло</t>
  </si>
  <si>
    <t xml:space="preserve">Вышивка на одежде: логотип на партию</t>
  </si>
  <si>
    <t xml:space="preserve">-кружки -сувениры -часы</t>
  </si>
  <si>
    <t xml:space="preserve">Бирки, составники и упаковка для одежды</t>
  </si>
  <si>
    <t xml:space="preserve">-ценники -самоклеящиеся -принтер -этикетка-принтер</t>
  </si>
  <si>
    <t xml:space="preserve">Лекала, градация и технолог для вашей коллекции</t>
  </si>
  <si>
    <t xml:space="preserve">-автокад -скачать -программа -курс</t>
  </si>
  <si>
    <t xml:space="preserve">Стоимость пошива: рассчитайте онлайн</t>
  </si>
  <si>
    <t xml:space="preserve">Статьи: как запустить бренд и выбрать производство</t>
  </si>
  <si>
    <t xml:space="preserve">Итого</t>
  </si>
  <si>
    <t xml:space="preserve">Сумма по региону считается по ТОЧНЫМ частотам (фраза в кавычках): они не пересекаются и складываются. Широкие частоты суммировать нельзя, поэтому для России показан максимум по кластеру.</t>
  </si>
  <si>
    <t xml:space="preserve">URL</t>
  </si>
  <si>
    <t xml:space="preserve">Title</t>
  </si>
  <si>
    <t xml:space="preserve">Длина Title</t>
  </si>
  <si>
    <t xml:space="preserve">Description</t>
  </si>
  <si>
    <t xml:space="preserve">Длина Description</t>
  </si>
  <si>
    <t xml:space="preserve">H1</t>
  </si>
  <si>
    <t xml:space="preserve">Проверка (Title ≤ 70, Description ≤ 160)</t>
  </si>
  <si>
    <t xml:space="preserve">/</t>
  </si>
  <si>
    <t xml:space="preserve">Швейное производство в Челябинске: пошив партий | Культура шитья</t>
  </si>
  <si>
    <t xml:space="preserve">Контрактный пошив одежды для брендов и селлеров. Образец за 2-3 дня, опт от 300 единиц, бирки и упаковка. Отправляем по России. Рассчитайте стоимость онлайн.</t>
  </si>
  <si>
    <t xml:space="preserve">/opt</t>
  </si>
  <si>
    <t xml:space="preserve">Пошив одежды оптом в Челябинске от 300 единиц | Культура шитья</t>
  </si>
  <si>
    <t xml:space="preserve">Пошив партий одежды оптом: худи, свитшоты, платья, рубашки, брюки, шорты. Работаем на вашем сырье. Рассчитайте стоимость партии в калькуляторе.</t>
  </si>
  <si>
    <t xml:space="preserve">/marketplejsy</t>
  </si>
  <si>
    <t xml:space="preserve">Пошив одежды для Wildberries и Ozon | Культура шитья</t>
  </si>
  <si>
    <t xml:space="preserve">Шьём партии для селлеров Wildberries и Ozon: от образца до упаковки по вашему ТЗ. Бирки, составники, отправка транспортной компанией по России.</t>
  </si>
  <si>
    <t xml:space="preserve">/brendam</t>
  </si>
  <si>
    <t xml:space="preserve">Пошив одежды для брендов: малые партии | Культура шитья</t>
  </si>
  <si>
    <t xml:space="preserve">Пошив коллекций для брендов одежды: образцы за 2-3 дня, партии под вашей маркой, бирки, вышивка и DTF-печать. Челябинск, отправка по России.</t>
  </si>
  <si>
    <t xml:space="preserve">/obrazec</t>
  </si>
  <si>
    <t xml:space="preserve">Пошив образца одежды за 2-3 дня | Экспериментальный цех</t>
  </si>
  <si>
    <t xml:space="preserve">Экспериментальный цех: отшиваем образец любого изделия за 2-3 дня. Проверьте лекала и посадку до запуска партии. Челябинск.</t>
  </si>
  <si>
    <t xml:space="preserve">/davalcheskoe</t>
  </si>
  <si>
    <t xml:space="preserve">Пошив из давальческого сырья в Челябинске | Культура шитья</t>
  </si>
  <si>
    <t xml:space="preserve">Шьём из вашей ткани и фурнитуры: раскрой, пошив, контроль качества, упаковка. Партии для брендов и селлеров, отправка по России.</t>
  </si>
  <si>
    <t xml:space="preserve">/hudi-svitshoty</t>
  </si>
  <si>
    <t xml:space="preserve">Пошив худи, свитшотов и толстовок оптом | Культура шитья</t>
  </si>
  <si>
    <t xml:space="preserve">Пошив худи, свитшотов и зип-худи партиями. Нанесение DTF-печати и вышивка, бирки и упаковка по вашему ТЗ. Челябинск.</t>
  </si>
  <si>
    <t xml:space="preserve">/platya-rubashki-bryuki</t>
  </si>
  <si>
    <t xml:space="preserve">Пошив платьев, рубашек, брюк и шорт партиями | Культура шитья</t>
  </si>
  <si>
    <t xml:space="preserve">Пошив платьев, рубашек, брюк и шорт для брендов и маркетплейсов. Образец за 2-3 дня, партии от 300 единиц. Челябинск.</t>
  </si>
  <si>
    <t xml:space="preserve">/dtf-pechat</t>
  </si>
  <si>
    <t xml:space="preserve">DTF-печать на одежде оптом в Челябинске | Культура шитья</t>
  </si>
  <si>
    <t xml:space="preserve">Нанесение DTF-печати на изделия партиями: ваш логотип и принты на худи, свитшоты и другую одежду. Пошив и печать в одном цехе.</t>
  </si>
  <si>
    <t xml:space="preserve">/vyshivka</t>
  </si>
  <si>
    <t xml:space="preserve">Вышивка на одежде в Челябинске: логотип на партию | Культура шитья</t>
  </si>
  <si>
    <t xml:space="preserve">Вышивка логотипа на ткани и готовой одежде: для партий брендов и селлеров. Пошив и вышивка в одном цехе, отправка по России.</t>
  </si>
  <si>
    <t xml:space="preserve">/birki-upakovka</t>
  </si>
  <si>
    <t xml:space="preserve">Бирки, составники и упаковка для одежды | Культура шитья</t>
  </si>
  <si>
    <t xml:space="preserve">Изготовим бирки и составники, подготовим любую упаковку по ТЗ клиента. Пошив партии, маркировка и упаковка в одном месте.</t>
  </si>
  <si>
    <t xml:space="preserve">/lekala-konstruktor</t>
  </si>
  <si>
    <t xml:space="preserve">Лекала, градация и технолог для коллекции | Культура шитья</t>
  </si>
  <si>
    <t xml:space="preserve">Поможем с лекалами, градацией и технологией пошива для вашей коллекции. Отшиваем образец за 2-3 дня и запускаем партию.</t>
  </si>
  <si>
    <t xml:space="preserve">/price</t>
  </si>
  <si>
    <t xml:space="preserve">Стоимость пошива одежды: калькулятор | Культура шитья</t>
  </si>
  <si>
    <t xml:space="preserve">Рассчитайте стоимость пошива партии: тип изделия, количество, ткань, сроки. Результат придёт на почту или в мессенджер.</t>
  </si>
  <si>
    <t xml:space="preserve">/blog</t>
  </si>
  <si>
    <t xml:space="preserve">Блог: как запустить бренд одежды и выбрать цех | Культура шитья</t>
  </si>
  <si>
    <t xml:space="preserve">Статьи для брендов и селлеров: как отшить первую партию, как подготовить лекала и ТЗ, как выбрать швейное производство.</t>
  </si>
  <si>
    <t xml:space="preserve">Правила, которые у Яндекса и Google общие: одна страница на один кластер (не две страницы под один запрос), уникальные Title и Description, один H1 с главной фразой, адрес и телефон на сайте, регион Челябинск в Яндекс Вордстате и Яндекс Бизнесе. В тексты не заложены не подтверждённые факты (сроки, мощности, опыт): только то, что есть в брифе.</t>
  </si>
  <si>
    <t xml:space="preserve">Ветка</t>
  </si>
  <si>
    <t xml:space="preserve">Узел</t>
  </si>
  <si>
    <t xml:space="preserve">Слова и словоформы (для масок и операторов)</t>
  </si>
  <si>
    <t xml:space="preserve">Кластеры ядра</t>
  </si>
  <si>
    <t xml:space="preserve">Страница / куда ведёт</t>
  </si>
  <si>
    <t xml:space="preserve">1. Объект</t>
  </si>
  <si>
    <t xml:space="preserve">Одежда и партия</t>
  </si>
  <si>
    <t xml:space="preserve">одежда, партия, партии, коллекция, серия, тираж</t>
  </si>
  <si>
    <t xml:space="preserve">01, 02, 04</t>
  </si>
  <si>
    <t xml:space="preserve">Главная, Услуги</t>
  </si>
  <si>
    <t xml:space="preserve">Образец</t>
  </si>
  <si>
    <t xml:space="preserve">образец, образцы, прототип, опытный образец, первый образец</t>
  </si>
  <si>
    <t xml:space="preserve">05</t>
  </si>
  <si>
    <t xml:space="preserve">Толстовочный ассортимент</t>
  </si>
  <si>
    <t xml:space="preserve">худи, зип худи, свитшот, толстовка, толстовки</t>
  </si>
  <si>
    <t xml:space="preserve">07</t>
  </si>
  <si>
    <t xml:space="preserve">Лёгкий ассортимент</t>
  </si>
  <si>
    <t xml:space="preserve">платье, платья, рубашка, рубашки, брюки, шорты</t>
  </si>
  <si>
    <t xml:space="preserve">08</t>
  </si>
  <si>
    <t xml:space="preserve">2. Действие</t>
  </si>
  <si>
    <t xml:space="preserve">Сделать</t>
  </si>
  <si>
    <t xml:space="preserve">пошив, пошить, сшить, отшить, шить, изготовление, производство, разработка</t>
  </si>
  <si>
    <t xml:space="preserve">все</t>
  </si>
  <si>
    <t xml:space="preserve">Заказать</t>
  </si>
  <si>
    <t xml:space="preserve">заказать, заказ, под заказ, на заказ, нужен, найти производство</t>
  </si>
  <si>
    <t xml:space="preserve">01–08</t>
  </si>
  <si>
    <t xml:space="preserve">Калькулятор «Рассчитать стоимость»</t>
  </si>
  <si>
    <t xml:space="preserve">3. Условия</t>
  </si>
  <si>
    <t xml:space="preserve">Объём</t>
  </si>
  <si>
    <t xml:space="preserve">оптом, мелким оптом, партиями, малыми партиями, мелкосерийное, от 100, от 300, минимальная партия</t>
  </si>
  <si>
    <t xml:space="preserve">02, 04</t>
  </si>
  <si>
    <t xml:space="preserve">Опт / Бренды</t>
  </si>
  <si>
    <t xml:space="preserve">Сырьё</t>
  </si>
  <si>
    <t xml:space="preserve">давальческое сырьё, из ткани заказчика, из материала заказчика</t>
  </si>
  <si>
    <t xml:space="preserve">06</t>
  </si>
  <si>
    <t xml:space="preserve">Формат работы</t>
  </si>
  <si>
    <t xml:space="preserve">под ключ, полный цикл, от производителя, контрактное</t>
  </si>
  <si>
    <t xml:space="preserve">01</t>
  </si>
  <si>
    <t xml:space="preserve">Главная</t>
  </si>
  <si>
    <t xml:space="preserve">4. Для кого</t>
  </si>
  <si>
    <t xml:space="preserve">Маркетплейсы</t>
  </si>
  <si>
    <t xml:space="preserve">wildberries, вайлдберриз, вб, ozon, озон, маркетплейс, селлер</t>
  </si>
  <si>
    <t xml:space="preserve">03</t>
  </si>
  <si>
    <t xml:space="preserve">Бренды</t>
  </si>
  <si>
    <t xml:space="preserve">бренд, своя марка, под своей маркой, стм, стартап, коллекция</t>
  </si>
  <si>
    <t xml:space="preserve">04</t>
  </si>
  <si>
    <t xml:space="preserve">5. Где</t>
  </si>
  <si>
    <t xml:space="preserve">География</t>
  </si>
  <si>
    <t xml:space="preserve">челябинск, челябинская область (через таргет региона), по россии, доставка транспортной компанией</t>
  </si>
  <si>
    <t xml:space="preserve">Контакты, блок «Отправляем по России»</t>
  </si>
  <si>
    <t xml:space="preserve">6. Дополнительные услуги</t>
  </si>
  <si>
    <t xml:space="preserve">Печать и вышивка</t>
  </si>
  <si>
    <t xml:space="preserve">дтф, печать дтф, нанесение логотипа, вышивка, машинная вышивка</t>
  </si>
  <si>
    <t xml:space="preserve">09, 10</t>
  </si>
  <si>
    <t xml:space="preserve">Услуги → DTF, Вышивка</t>
  </si>
  <si>
    <t xml:space="preserve">Бирки и упаковка</t>
  </si>
  <si>
    <t xml:space="preserve">бирки, этикетки, составник, состав, упаковка</t>
  </si>
  <si>
    <t xml:space="preserve">11</t>
  </si>
  <si>
    <t xml:space="preserve">Конструкторское</t>
  </si>
  <si>
    <t xml:space="preserve">лекала, градация, конструктор, технолог, технический пакет</t>
  </si>
  <si>
    <t xml:space="preserve">12</t>
  </si>
  <si>
    <t xml:space="preserve">7. Цена</t>
  </si>
  <si>
    <t xml:space="preserve">Стоимость</t>
  </si>
  <si>
    <t xml:space="preserve">цена, стоимость, сколько стоит, прайс, расчёт, калькулятор</t>
  </si>
  <si>
    <t xml:space="preserve">13</t>
  </si>
  <si>
    <t xml:space="preserve">8. Информационные</t>
  </si>
  <si>
    <t xml:space="preserve">Вопросы</t>
  </si>
  <si>
    <t xml:space="preserve">как запустить бренд, где отшить, как выбрать производство, с чего начать</t>
  </si>
  <si>
    <t xml:space="preserve">14</t>
  </si>
  <si>
    <t xml:space="preserve">Блог</t>
  </si>
  <si>
    <t xml:space="preserve">9. Конкуренты</t>
  </si>
  <si>
    <t xml:space="preserve">Названия</t>
  </si>
  <si>
    <t xml:space="preserve">маррини, fabric, октопус, seyter, текстильдом</t>
  </si>
  <si>
    <t xml:space="preserve">15</t>
  </si>
  <si>
    <t xml:space="preserve">Отдельная кампания</t>
  </si>
  <si>
    <t xml:space="preserve">10. Нецелевое (в минус)</t>
  </si>
  <si>
    <t xml:space="preserve">Физлица, учёба, работа, оборудование</t>
  </si>
  <si>
    <t xml:space="preserve">см. лист «Минус-слова»</t>
  </si>
  <si>
    <t xml:space="preserve">16</t>
  </si>
  <si>
    <t xml:space="preserve">Как читать карту: фразы собираются перемножением узлов разных веток (Действие × Объект × Условия × Для кого). Пример: «пошив» × «худи» × «оптом» = «пошив худи оптом». Картинка карты: semanticheskaya-karta.svg</t>
  </si>
  <si>
    <t xml:space="preserve">Категория</t>
  </si>
  <si>
    <t xml:space="preserve">Минус-слово / фраза</t>
  </si>
  <si>
    <t xml:space="preserve">Тип</t>
  </si>
  <si>
    <t xml:space="preserve">В формате Директа</t>
  </si>
  <si>
    <t xml:space="preserve">Зачем</t>
  </si>
  <si>
    <t xml:space="preserve">Для склейки</t>
  </si>
  <si>
    <t xml:space="preserve">Физлица, ателье, ремонт</t>
  </si>
  <si>
    <t xml:space="preserve">ателье</t>
  </si>
  <si>
    <t xml:space="preserve">слово</t>
  </si>
  <si>
    <t xml:space="preserve">-ателье</t>
  </si>
  <si>
    <t xml:space="preserve">Единичные заказы физлиц; сайт их отсеивает (бриф, п. 6)</t>
  </si>
  <si>
    <t xml:space="preserve">ремонт</t>
  </si>
  <si>
    <t xml:space="preserve">-ремонт</t>
  </si>
  <si>
    <t xml:space="preserve">подшить</t>
  </si>
  <si>
    <t xml:space="preserve">-подшить</t>
  </si>
  <si>
    <t xml:space="preserve">подшив</t>
  </si>
  <si>
    <t xml:space="preserve">-подшив</t>
  </si>
  <si>
    <t xml:space="preserve">укоротить</t>
  </si>
  <si>
    <t xml:space="preserve">-укоротить</t>
  </si>
  <si>
    <t xml:space="preserve">перешив</t>
  </si>
  <si>
    <t xml:space="preserve">-перешив</t>
  </si>
  <si>
    <t xml:space="preserve">переделка</t>
  </si>
  <si>
    <t xml:space="preserve">-переделка</t>
  </si>
  <si>
    <t xml:space="preserve">переделать</t>
  </si>
  <si>
    <t xml:space="preserve">-переделать</t>
  </si>
  <si>
    <t xml:space="preserve">подгонка</t>
  </si>
  <si>
    <t xml:space="preserve">-подгонка</t>
  </si>
  <si>
    <t xml:space="preserve">на дому</t>
  </si>
  <si>
    <t xml:space="preserve">фраза</t>
  </si>
  <si>
    <t xml:space="preserve">-на дому</t>
  </si>
  <si>
    <t xml:space="preserve">свадебное</t>
  </si>
  <si>
    <t xml:space="preserve">-свадебное</t>
  </si>
  <si>
    <t xml:space="preserve">выпускной</t>
  </si>
  <si>
    <t xml:space="preserve">-выпускной</t>
  </si>
  <si>
    <t xml:space="preserve">вечернее</t>
  </si>
  <si>
    <t xml:space="preserve">-вечернее</t>
  </si>
  <si>
    <t xml:space="preserve">бальное</t>
  </si>
  <si>
    <t xml:space="preserve">-бальное</t>
  </si>
  <si>
    <t xml:space="preserve">бальные</t>
  </si>
  <si>
    <t xml:space="preserve">-бальные</t>
  </si>
  <si>
    <t xml:space="preserve">Сделай сам, обучение</t>
  </si>
  <si>
    <t xml:space="preserve">выкройка</t>
  </si>
  <si>
    <t xml:space="preserve">-выкройка</t>
  </si>
  <si>
    <t xml:space="preserve">Ищут инструкцию или учёбу, а не производство</t>
  </si>
  <si>
    <t xml:space="preserve">выкройки</t>
  </si>
  <si>
    <t xml:space="preserve">-выкройки</t>
  </si>
  <si>
    <t xml:space="preserve">своими руками</t>
  </si>
  <si>
    <t xml:space="preserve">-своими руками</t>
  </si>
  <si>
    <t xml:space="preserve">курсы</t>
  </si>
  <si>
    <t xml:space="preserve">-курсы</t>
  </si>
  <si>
    <t xml:space="preserve">обучение</t>
  </si>
  <si>
    <t xml:space="preserve">-обучение</t>
  </si>
  <si>
    <t xml:space="preserve">мастер-класс</t>
  </si>
  <si>
    <t xml:space="preserve">-мастер-класс</t>
  </si>
  <si>
    <t xml:space="preserve">урок</t>
  </si>
  <si>
    <t xml:space="preserve">-урок</t>
  </si>
  <si>
    <t xml:space="preserve">как сшить</t>
  </si>
  <si>
    <t xml:space="preserve">-как сшить</t>
  </si>
  <si>
    <t xml:space="preserve">самостоятельно</t>
  </si>
  <si>
    <t xml:space="preserve">-самостоятельно</t>
  </si>
  <si>
    <t xml:space="preserve">схема</t>
  </si>
  <si>
    <t xml:space="preserve">-схема</t>
  </si>
  <si>
    <t xml:space="preserve">скачать</t>
  </si>
  <si>
    <t xml:space="preserve">-скачать</t>
  </si>
  <si>
    <t xml:space="preserve">бесплатно</t>
  </si>
  <si>
    <t xml:space="preserve">-бесплатно</t>
  </si>
  <si>
    <t xml:space="preserve">pdf</t>
  </si>
  <si>
    <t xml:space="preserve">-pdf</t>
  </si>
  <si>
    <t xml:space="preserve">видео</t>
  </si>
  <si>
    <t xml:space="preserve">-видео</t>
  </si>
  <si>
    <t xml:space="preserve">реферат</t>
  </si>
  <si>
    <t xml:space="preserve">-реферат</t>
  </si>
  <si>
    <t xml:space="preserve">для начинающих</t>
  </si>
  <si>
    <t xml:space="preserve">-для начинающих</t>
  </si>
  <si>
    <t xml:space="preserve">пошагово</t>
  </si>
  <si>
    <t xml:space="preserve">-пошагово</t>
  </si>
  <si>
    <t xml:space="preserve">лоскутное</t>
  </si>
  <si>
    <t xml:space="preserve">-лоскутное</t>
  </si>
  <si>
    <t xml:space="preserve">лоскутное шитье</t>
  </si>
  <si>
    <t xml:space="preserve">-лоскутное шитье</t>
  </si>
  <si>
    <t xml:space="preserve">мастер класс</t>
  </si>
  <si>
    <t xml:space="preserve">-мастер класс</t>
  </si>
  <si>
    <t xml:space="preserve">Работа, вакансии, профессия</t>
  </si>
  <si>
    <t xml:space="preserve">вакансия</t>
  </si>
  <si>
    <t xml:space="preserve">-вакансия</t>
  </si>
  <si>
    <t xml:space="preserve">Соискатели и студенты; «швея Челябинск» ищут работу или единичный заказ</t>
  </si>
  <si>
    <t xml:space="preserve">вакансии</t>
  </si>
  <si>
    <t xml:space="preserve">-вакансии</t>
  </si>
  <si>
    <t xml:space="preserve">работа</t>
  </si>
  <si>
    <t xml:space="preserve">-работа</t>
  </si>
  <si>
    <t xml:space="preserve">зарплата</t>
  </si>
  <si>
    <t xml:space="preserve">-зарплата</t>
  </si>
  <si>
    <t xml:space="preserve">резюме</t>
  </si>
  <si>
    <t xml:space="preserve">-резюме</t>
  </si>
  <si>
    <t xml:space="preserve">подработка</t>
  </si>
  <si>
    <t xml:space="preserve">-подработка</t>
  </si>
  <si>
    <t xml:space="preserve">трудоустройство</t>
  </si>
  <si>
    <t xml:space="preserve">-трудоустройство</t>
  </si>
  <si>
    <t xml:space="preserve">швея</t>
  </si>
  <si>
    <t xml:space="preserve">-швея</t>
  </si>
  <si>
    <t xml:space="preserve">швеи</t>
  </si>
  <si>
    <t xml:space="preserve">-швеи</t>
  </si>
  <si>
    <t xml:space="preserve">портной</t>
  </si>
  <si>
    <t xml:space="preserve">-портной</t>
  </si>
  <si>
    <t xml:space="preserve">оператор</t>
  </si>
  <si>
    <t xml:space="preserve">-оператор</t>
  </si>
  <si>
    <t xml:space="preserve">мастер</t>
  </si>
  <si>
    <t xml:space="preserve">-мастер</t>
  </si>
  <si>
    <t xml:space="preserve">обязанности</t>
  </si>
  <si>
    <t xml:space="preserve">-обязанности</t>
  </si>
  <si>
    <t xml:space="preserve">профессия</t>
  </si>
  <si>
    <t xml:space="preserve">-профессия</t>
  </si>
  <si>
    <t xml:space="preserve">должностная</t>
  </si>
  <si>
    <t xml:space="preserve">-должностная</t>
  </si>
  <si>
    <t xml:space="preserve">колледж</t>
  </si>
  <si>
    <t xml:space="preserve">-колледж</t>
  </si>
  <si>
    <t xml:space="preserve">техникум</t>
  </si>
  <si>
    <t xml:space="preserve">-техникум</t>
  </si>
  <si>
    <t xml:space="preserve">институт</t>
  </si>
  <si>
    <t xml:space="preserve">-институт</t>
  </si>
  <si>
    <t xml:space="preserve">образование</t>
  </si>
  <si>
    <t xml:space="preserve">-образование</t>
  </si>
  <si>
    <t xml:space="preserve">женщины на</t>
  </si>
  <si>
    <t xml:space="preserve">-женщины на</t>
  </si>
  <si>
    <t xml:space="preserve">Оборудование, материалы</t>
  </si>
  <si>
    <t xml:space="preserve">швейная машина</t>
  </si>
  <si>
    <t xml:space="preserve">-швейная машина</t>
  </si>
  <si>
    <t xml:space="preserve">Покупают оборудование или ткань; ткань у нас давальческая, ткань не продаём</t>
  </si>
  <si>
    <t xml:space="preserve">-швейная машинка</t>
  </si>
  <si>
    <t xml:space="preserve">швейные машины</t>
  </si>
  <si>
    <t xml:space="preserve">-швейные машины</t>
  </si>
  <si>
    <t xml:space="preserve">оверлок</t>
  </si>
  <si>
    <t xml:space="preserve">-оверлок</t>
  </si>
  <si>
    <t xml:space="preserve">запчасти</t>
  </si>
  <si>
    <t xml:space="preserve">-запчасти</t>
  </si>
  <si>
    <t xml:space="preserve">иглы</t>
  </si>
  <si>
    <t xml:space="preserve">-иглы</t>
  </si>
  <si>
    <t xml:space="preserve">нитки</t>
  </si>
  <si>
    <t xml:space="preserve">-нитки</t>
  </si>
  <si>
    <t xml:space="preserve">фурнитура</t>
  </si>
  <si>
    <t xml:space="preserve">-фурнитура</t>
  </si>
  <si>
    <t xml:space="preserve">купить ткань</t>
  </si>
  <si>
    <t xml:space="preserve">-купить ткань</t>
  </si>
  <si>
    <t xml:space="preserve">ткань оптом</t>
  </si>
  <si>
    <t xml:space="preserve">-ткань оптом</t>
  </si>
  <si>
    <t xml:space="preserve">ткани оптом</t>
  </si>
  <si>
    <t xml:space="preserve">-ткани оптом</t>
  </si>
  <si>
    <t xml:space="preserve">ткань метр</t>
  </si>
  <si>
    <t xml:space="preserve">-ткань метр</t>
  </si>
  <si>
    <t xml:space="preserve">оборудование</t>
  </si>
  <si>
    <t xml:space="preserve">-оборудование</t>
  </si>
  <si>
    <t xml:space="preserve">б/у</t>
  </si>
  <si>
    <t xml:space="preserve">-б/у</t>
  </si>
  <si>
    <t xml:space="preserve">бу</t>
  </si>
  <si>
    <t xml:space="preserve">-бу</t>
  </si>
  <si>
    <t xml:space="preserve">станок</t>
  </si>
  <si>
    <t xml:space="preserve">-станок</t>
  </si>
  <si>
    <t xml:space="preserve">станки</t>
  </si>
  <si>
    <t xml:space="preserve">-станки</t>
  </si>
  <si>
    <t xml:space="preserve">вышивальная машина</t>
  </si>
  <si>
    <t xml:space="preserve">-вышивальная машина</t>
  </si>
  <si>
    <t xml:space="preserve">вышивальный станок</t>
  </si>
  <si>
    <t xml:space="preserve">-вышивальный станок</t>
  </si>
  <si>
    <t xml:space="preserve">вышивальные машины</t>
  </si>
  <si>
    <t xml:space="preserve">-вышивальные машины</t>
  </si>
  <si>
    <t xml:space="preserve">вышивальные станки</t>
  </si>
  <si>
    <t xml:space="preserve">-вышивальные станки</t>
  </si>
  <si>
    <t xml:space="preserve">швейно вышивальная</t>
  </si>
  <si>
    <t xml:space="preserve">-швейно вышивальная</t>
  </si>
  <si>
    <t xml:space="preserve">швейно-вышивальная</t>
  </si>
  <si>
    <t xml:space="preserve">-швейно-вышивальная</t>
  </si>
  <si>
    <t xml:space="preserve">принтер</t>
  </si>
  <si>
    <t xml:space="preserve">-принтер</t>
  </si>
  <si>
    <t xml:space="preserve">плоттер</t>
  </si>
  <si>
    <t xml:space="preserve">-плоттер</t>
  </si>
  <si>
    <t xml:space="preserve">программа</t>
  </si>
  <si>
    <t xml:space="preserve">-программа</t>
  </si>
  <si>
    <t xml:space="preserve">ткань</t>
  </si>
  <si>
    <t xml:space="preserve">-ткань</t>
  </si>
  <si>
    <t xml:space="preserve">ткани</t>
  </si>
  <si>
    <t xml:space="preserve">-ткани</t>
  </si>
  <si>
    <t xml:space="preserve">Открыть своё производство</t>
  </si>
  <si>
    <t xml:space="preserve">бизнес-план</t>
  </si>
  <si>
    <t xml:space="preserve">-бизнес-план</t>
  </si>
  <si>
    <t xml:space="preserve">Новички, которые хотят открыть цех, а не заказать пошив</t>
  </si>
  <si>
    <t xml:space="preserve">бизнес план</t>
  </si>
  <si>
    <t xml:space="preserve">-бизнес план</t>
  </si>
  <si>
    <t xml:space="preserve">франшиза</t>
  </si>
  <si>
    <t xml:space="preserve">-франшиза</t>
  </si>
  <si>
    <t xml:space="preserve">открыть цех</t>
  </si>
  <si>
    <t xml:space="preserve">-открыть цех</t>
  </si>
  <si>
    <t xml:space="preserve">с нуля</t>
  </si>
  <si>
    <t xml:space="preserve">-с нуля</t>
  </si>
  <si>
    <t xml:space="preserve">как открыть</t>
  </si>
  <si>
    <t xml:space="preserve">-как открыть</t>
  </si>
  <si>
    <t xml:space="preserve">помещение</t>
  </si>
  <si>
    <t xml:space="preserve">-помещение</t>
  </si>
  <si>
    <t xml:space="preserve">себестоимость</t>
  </si>
  <si>
    <t xml:space="preserve">-себестоимость</t>
  </si>
  <si>
    <t xml:space="preserve">калькуляция</t>
  </si>
  <si>
    <t xml:space="preserve">-калькуляция</t>
  </si>
  <si>
    <t xml:space="preserve">своё производство</t>
  </si>
  <si>
    <t xml:space="preserve">-своё производство</t>
  </si>
  <si>
    <t xml:space="preserve">собственное производство</t>
  </si>
  <si>
    <t xml:space="preserve">-собственное производство</t>
  </si>
  <si>
    <t xml:space="preserve">Другая продукция (проверить с клиентом)</t>
  </si>
  <si>
    <t xml:space="preserve">шторы</t>
  </si>
  <si>
    <t xml:space="preserve">-шторы</t>
  </si>
  <si>
    <t xml:space="preserve">В брифе этих изделий нет. Если шьёте спецодежду или униформу, снять из минусов (лист «Вопросы клиенту»)</t>
  </si>
  <si>
    <t xml:space="preserve">занавески</t>
  </si>
  <si>
    <t xml:space="preserve">-занавески</t>
  </si>
  <si>
    <t xml:space="preserve">постельное</t>
  </si>
  <si>
    <t xml:space="preserve">-постельное</t>
  </si>
  <si>
    <t xml:space="preserve">спецодежда</t>
  </si>
  <si>
    <t xml:space="preserve">-спецодежда</t>
  </si>
  <si>
    <t xml:space="preserve">униформа</t>
  </si>
  <si>
    <t xml:space="preserve">-униформа</t>
  </si>
  <si>
    <t xml:space="preserve">школьная форма</t>
  </si>
  <si>
    <t xml:space="preserve">-школьная форма</t>
  </si>
  <si>
    <t xml:space="preserve">собак</t>
  </si>
  <si>
    <t xml:space="preserve">-собак</t>
  </si>
  <si>
    <t xml:space="preserve">питомцев</t>
  </si>
  <si>
    <t xml:space="preserve">-питомцев</t>
  </si>
  <si>
    <t xml:space="preserve">игрушки</t>
  </si>
  <si>
    <t xml:space="preserve">-игрушки</t>
  </si>
  <si>
    <t xml:space="preserve">куклы</t>
  </si>
  <si>
    <t xml:space="preserve">-куклы</t>
  </si>
  <si>
    <t xml:space="preserve">обувь</t>
  </si>
  <si>
    <t xml:space="preserve">-обувь</t>
  </si>
  <si>
    <t xml:space="preserve">сумки</t>
  </si>
  <si>
    <t xml:space="preserve">-сумки</t>
  </si>
  <si>
    <t xml:space="preserve">рюкзаки</t>
  </si>
  <si>
    <t xml:space="preserve">-рюкзаки</t>
  </si>
  <si>
    <t xml:space="preserve">чехлы</t>
  </si>
  <si>
    <t xml:space="preserve">-чехлы</t>
  </si>
  <si>
    <t xml:space="preserve">подушки</t>
  </si>
  <si>
    <t xml:space="preserve">-подушки</t>
  </si>
  <si>
    <t xml:space="preserve">платки</t>
  </si>
  <si>
    <t xml:space="preserve">-платки</t>
  </si>
  <si>
    <t xml:space="preserve">госномеров</t>
  </si>
  <si>
    <t xml:space="preserve">-госномеров</t>
  </si>
  <si>
    <t xml:space="preserve">номеров</t>
  </si>
  <si>
    <t xml:space="preserve">-номеров</t>
  </si>
  <si>
    <t xml:space="preserve">Розница, готовый товар</t>
  </si>
  <si>
    <t xml:space="preserve">купить</t>
  </si>
  <si>
    <t xml:space="preserve">-купить</t>
  </si>
  <si>
    <t xml:space="preserve">Ищут готовую вещь. Для группы «оптом от производителя» решить отдельно</t>
  </si>
  <si>
    <t xml:space="preserve">в розницу</t>
  </si>
  <si>
    <t xml:space="preserve">-в розницу</t>
  </si>
  <si>
    <t xml:space="preserve">интернет-магазин</t>
  </si>
  <si>
    <t xml:space="preserve">-интернет-магазин</t>
  </si>
  <si>
    <t xml:space="preserve">интернет магазин</t>
  </si>
  <si>
    <t xml:space="preserve">-интернет магазин</t>
  </si>
  <si>
    <t xml:space="preserve">магазин</t>
  </si>
  <si>
    <t xml:space="preserve">-магазин</t>
  </si>
  <si>
    <t xml:space="preserve">авито</t>
  </si>
  <si>
    <t xml:space="preserve">-авито</t>
  </si>
  <si>
    <t xml:space="preserve">секонд</t>
  </si>
  <si>
    <t xml:space="preserve">-секонд</t>
  </si>
  <si>
    <t xml:space="preserve">ломбард</t>
  </si>
  <si>
    <t xml:space="preserve">-ломбард</t>
  </si>
  <si>
    <t xml:space="preserve">Информационный шум и определения</t>
  </si>
  <si>
    <t xml:space="preserve">отзывы</t>
  </si>
  <si>
    <t xml:space="preserve">-отзывы</t>
  </si>
  <si>
    <t xml:space="preserve">Определения, учёба и отзывы дают нецелевой клик (курс: «картинки», «фото», «отзывы»); для SEO-статей часть пригодна</t>
  </si>
  <si>
    <t xml:space="preserve">фото</t>
  </si>
  <si>
    <t xml:space="preserve">-фото</t>
  </si>
  <si>
    <t xml:space="preserve">картинки</t>
  </si>
  <si>
    <t xml:space="preserve">-картинки</t>
  </si>
  <si>
    <t xml:space="preserve">википедия</t>
  </si>
  <si>
    <t xml:space="preserve">-википедия</t>
  </si>
  <si>
    <t xml:space="preserve">что такое</t>
  </si>
  <si>
    <t xml:space="preserve">-что такое</t>
  </si>
  <si>
    <t xml:space="preserve">это</t>
  </si>
  <si>
    <t xml:space="preserve">-это</t>
  </si>
  <si>
    <t xml:space="preserve">что значит</t>
  </si>
  <si>
    <t xml:space="preserve">-что значит</t>
  </si>
  <si>
    <t xml:space="preserve">означает</t>
  </si>
  <si>
    <t xml:space="preserve">-означает</t>
  </si>
  <si>
    <t xml:space="preserve">название</t>
  </si>
  <si>
    <t xml:space="preserve">-название</t>
  </si>
  <si>
    <t xml:space="preserve">называется</t>
  </si>
  <si>
    <t xml:space="preserve">-называется</t>
  </si>
  <si>
    <t xml:space="preserve">классификация</t>
  </si>
  <si>
    <t xml:space="preserve">-классификация</t>
  </si>
  <si>
    <t xml:space="preserve">история</t>
  </si>
  <si>
    <t xml:space="preserve">-история</t>
  </si>
  <si>
    <t xml:space="preserve">курсовая</t>
  </si>
  <si>
    <t xml:space="preserve">-курсовая</t>
  </si>
  <si>
    <t xml:space="preserve">презентация</t>
  </si>
  <si>
    <t xml:space="preserve">-презентация</t>
  </si>
  <si>
    <t xml:space="preserve">кто такой</t>
  </si>
  <si>
    <t xml:space="preserve">-кто такой</t>
  </si>
  <si>
    <t xml:space="preserve">пример</t>
  </si>
  <si>
    <t xml:space="preserve">-пример</t>
  </si>
  <si>
    <t xml:space="preserve">примеры</t>
  </si>
  <si>
    <t xml:space="preserve">-примеры</t>
  </si>
  <si>
    <t xml:space="preserve">виды</t>
  </si>
  <si>
    <t xml:space="preserve">-виды</t>
  </si>
  <si>
    <t xml:space="preserve">шьет или шъет</t>
  </si>
  <si>
    <t xml:space="preserve">-шьет или шъет</t>
  </si>
  <si>
    <t xml:space="preserve">отличается</t>
  </si>
  <si>
    <t xml:space="preserve">-отличается</t>
  </si>
  <si>
    <t xml:space="preserve">отличие</t>
  </si>
  <si>
    <t xml:space="preserve">-отличие</t>
  </si>
  <si>
    <t xml:space="preserve">отличия</t>
  </si>
  <si>
    <t xml:space="preserve">-отличия</t>
  </si>
  <si>
    <t xml:space="preserve">расшифровка</t>
  </si>
  <si>
    <t xml:space="preserve">-расшифровка</t>
  </si>
  <si>
    <t xml:space="preserve">значение</t>
  </si>
  <si>
    <t xml:space="preserve">-значение</t>
  </si>
  <si>
    <t xml:space="preserve">обозначение</t>
  </si>
  <si>
    <t xml:space="preserve">-обозначение</t>
  </si>
  <si>
    <t xml:space="preserve">обозначения</t>
  </si>
  <si>
    <t xml:space="preserve">-обозначения</t>
  </si>
  <si>
    <t xml:space="preserve">символы</t>
  </si>
  <si>
    <t xml:space="preserve">-символы</t>
  </si>
  <si>
    <t xml:space="preserve">чей</t>
  </si>
  <si>
    <t xml:space="preserve">-чей</t>
  </si>
  <si>
    <t xml:space="preserve">чье</t>
  </si>
  <si>
    <t xml:space="preserve">-чье</t>
  </si>
  <si>
    <t xml:space="preserve">чья</t>
  </si>
  <si>
    <t xml:space="preserve">-чья</t>
  </si>
  <si>
    <t xml:space="preserve">кроссворд</t>
  </si>
  <si>
    <t xml:space="preserve">-кроссворд</t>
  </si>
  <si>
    <t xml:space="preserve">гта</t>
  </si>
  <si>
    <t xml:space="preserve">-гта</t>
  </si>
  <si>
    <t xml:space="preserve">игра</t>
  </si>
  <si>
    <t xml:space="preserve">-игра</t>
  </si>
  <si>
    <t xml:space="preserve">школа</t>
  </si>
  <si>
    <t xml:space="preserve">-школа</t>
  </si>
  <si>
    <t xml:space="preserve">академия</t>
  </si>
  <si>
    <t xml:space="preserve">-академия</t>
  </si>
  <si>
    <t xml:space="preserve">кто</t>
  </si>
  <si>
    <t xml:space="preserve">-кто</t>
  </si>
  <si>
    <t xml:space="preserve">какая</t>
  </si>
  <si>
    <t xml:space="preserve">-какая</t>
  </si>
  <si>
    <t xml:space="preserve">какой</t>
  </si>
  <si>
    <t xml:space="preserve">-какой</t>
  </si>
  <si>
    <t xml:space="preserve">какое</t>
  </si>
  <si>
    <t xml:space="preserve">-какое</t>
  </si>
  <si>
    <t xml:space="preserve">официальный</t>
  </si>
  <si>
    <t xml:space="preserve">-официальный</t>
  </si>
  <si>
    <t xml:space="preserve">официальные</t>
  </si>
  <si>
    <t xml:space="preserve">-официальные</t>
  </si>
  <si>
    <t xml:space="preserve">сайт</t>
  </si>
  <si>
    <t xml:space="preserve">-сайт</t>
  </si>
  <si>
    <t xml:space="preserve">сайты</t>
  </si>
  <si>
    <t xml:space="preserve">-сайты</t>
  </si>
  <si>
    <t xml:space="preserve">рядом</t>
  </si>
  <si>
    <t xml:space="preserve">-рядом</t>
  </si>
  <si>
    <t xml:space="preserve">на карте</t>
  </si>
  <si>
    <t xml:space="preserve">-на карте</t>
  </si>
  <si>
    <t xml:space="preserve">контакты</t>
  </si>
  <si>
    <t xml:space="preserve">-контакты</t>
  </si>
  <si>
    <t xml:space="preserve">телефон</t>
  </si>
  <si>
    <t xml:space="preserve">-телефон</t>
  </si>
  <si>
    <t xml:space="preserve">адрес</t>
  </si>
  <si>
    <t xml:space="preserve">-адрес</t>
  </si>
  <si>
    <t xml:space="preserve">знаки</t>
  </si>
  <si>
    <t xml:space="preserve">-знаки</t>
  </si>
  <si>
    <t xml:space="preserve">знак</t>
  </si>
  <si>
    <t xml:space="preserve">-знак</t>
  </si>
  <si>
    <t xml:space="preserve">значки</t>
  </si>
  <si>
    <t xml:space="preserve">-значки</t>
  </si>
  <si>
    <t xml:space="preserve">стирка</t>
  </si>
  <si>
    <t xml:space="preserve">-стирка</t>
  </si>
  <si>
    <t xml:space="preserve">стирки</t>
  </si>
  <si>
    <t xml:space="preserve">-стирки</t>
  </si>
  <si>
    <t xml:space="preserve">стирку</t>
  </si>
  <si>
    <t xml:space="preserve">-стирку</t>
  </si>
  <si>
    <t xml:space="preserve">температура</t>
  </si>
  <si>
    <t xml:space="preserve">-температура</t>
  </si>
  <si>
    <t xml:space="preserve">температуры</t>
  </si>
  <si>
    <t xml:space="preserve">-температуры</t>
  </si>
  <si>
    <t xml:space="preserve">оквэд</t>
  </si>
  <si>
    <t xml:space="preserve">-оквэд</t>
  </si>
  <si>
    <t xml:space="preserve">деятельность</t>
  </si>
  <si>
    <t xml:space="preserve">-деятельность</t>
  </si>
  <si>
    <t xml:space="preserve">технология</t>
  </si>
  <si>
    <t xml:space="preserve">-технология</t>
  </si>
  <si>
    <t xml:space="preserve">технологии</t>
  </si>
  <si>
    <t xml:space="preserve">-технологии</t>
  </si>
  <si>
    <t xml:space="preserve">последовательность</t>
  </si>
  <si>
    <t xml:space="preserve">-последовательность</t>
  </si>
  <si>
    <t xml:space="preserve">варианты</t>
  </si>
  <si>
    <t xml:space="preserve">-варианты</t>
  </si>
  <si>
    <t xml:space="preserve">упаковщик</t>
  </si>
  <si>
    <t xml:space="preserve">-упаковщик</t>
  </si>
  <si>
    <t xml:space="preserve">упаковщики</t>
  </si>
  <si>
    <t xml:space="preserve">-упаковщики</t>
  </si>
  <si>
    <t xml:space="preserve">упаковщиков</t>
  </si>
  <si>
    <t xml:space="preserve">-упаковщиков</t>
  </si>
  <si>
    <t xml:space="preserve">самозанятый</t>
  </si>
  <si>
    <t xml:space="preserve">-самозанятый</t>
  </si>
  <si>
    <t xml:space="preserve">самой</t>
  </si>
  <si>
    <t xml:space="preserve">-самой</t>
  </si>
  <si>
    <t xml:space="preserve">сама</t>
  </si>
  <si>
    <t xml:space="preserve">-сама</t>
  </si>
  <si>
    <t xml:space="preserve">что можно</t>
  </si>
  <si>
    <t xml:space="preserve">-что можно</t>
  </si>
  <si>
    <t xml:space="preserve">как пошить</t>
  </si>
  <si>
    <t xml:space="preserve">-как пошить</t>
  </si>
  <si>
    <t xml:space="preserve">как из</t>
  </si>
  <si>
    <t xml:space="preserve">-как из</t>
  </si>
  <si>
    <t xml:space="preserve">из джинс</t>
  </si>
  <si>
    <t xml:space="preserve">-из джинс</t>
  </si>
  <si>
    <t xml:space="preserve">из фетра</t>
  </si>
  <si>
    <t xml:space="preserve">-из фетра</t>
  </si>
  <si>
    <t xml:space="preserve">сшить из</t>
  </si>
  <si>
    <t xml:space="preserve">-сшить из</t>
  </si>
  <si>
    <t xml:space="preserve">чем</t>
  </si>
  <si>
    <t xml:space="preserve">-чем</t>
  </si>
  <si>
    <t xml:space="preserve">ооо</t>
  </si>
  <si>
    <t xml:space="preserve">-ооо</t>
  </si>
  <si>
    <t xml:space="preserve">иванова</t>
  </si>
  <si>
    <t xml:space="preserve">-иванова</t>
  </si>
  <si>
    <t xml:space="preserve">одноклассники</t>
  </si>
  <si>
    <t xml:space="preserve">-одноклассники</t>
  </si>
  <si>
    <t xml:space="preserve">Минус-фразы</t>
  </si>
  <si>
    <t xml:space="preserve">бирка на одежде</t>
  </si>
  <si>
    <t xml:space="preserve">-бирка на одежде</t>
  </si>
  <si>
    <t xml:space="preserve">Читают этикетку, не заказывают</t>
  </si>
  <si>
    <t xml:space="preserve">бирки на одежде</t>
  </si>
  <si>
    <t xml:space="preserve">-бирки на одежде</t>
  </si>
  <si>
    <t xml:space="preserve">этикетка на одежде</t>
  </si>
  <si>
    <t xml:space="preserve">-этикетка на одежде</t>
  </si>
  <si>
    <t xml:space="preserve">этикетки на одежде</t>
  </si>
  <si>
    <t xml:space="preserve">-этикетки на одежде</t>
  </si>
  <si>
    <t xml:space="preserve">пошив для себя</t>
  </si>
  <si>
    <t xml:space="preserve">-пошив для себя</t>
  </si>
  <si>
    <t xml:space="preserve">Физлицо</t>
  </si>
  <si>
    <t xml:space="preserve">пошив одежды на дому</t>
  </si>
  <si>
    <t xml:space="preserve">-пошив одежды на дому</t>
  </si>
  <si>
    <t xml:space="preserve">Надомница, единичный заказ</t>
  </si>
  <si>
    <t xml:space="preserve">швейный цех на дому</t>
  </si>
  <si>
    <t xml:space="preserve">-швейный цех на дому</t>
  </si>
  <si>
    <t xml:space="preserve">Открыть своё</t>
  </si>
  <si>
    <t xml:space="preserve">пошив одежды по выкройке</t>
  </si>
  <si>
    <t xml:space="preserve">-пошив одежды по выкройке</t>
  </si>
  <si>
    <t xml:space="preserve">Сделай сам</t>
  </si>
  <si>
    <t xml:space="preserve">пошив одежды своими руками</t>
  </si>
  <si>
    <t xml:space="preserve">-пошив одежды своими руками</t>
  </si>
  <si>
    <t xml:space="preserve">Общая строка минус-слов (одним словом, для вставки в кампанию)</t>
  </si>
  <si>
    <t xml:space="preserve">Приоритеты Директа: ключевая фраза важнее минус-слова (при полном совпадении показ будет), минус-фраза важнее автотаргетинга. Минус-слова ставятся на кампанию, минус-фразы на кампанию или группу (конспект курса, 12.4).</t>
  </si>
  <si>
    <t xml:space="preserve">Фраза-получатель</t>
  </si>
  <si>
    <t xml:space="preserve">Её кластер</t>
  </si>
  <si>
    <t xml:space="preserve">Минус-слова к ней</t>
  </si>
  <si>
    <t xml:space="preserve">Из-за каких более узких фраз других кластеров</t>
  </si>
  <si>
    <t xml:space="preserve">-оптом -цена -сколько -стоит -пошив</t>
  </si>
  <si>
    <t xml:space="preserve">швейный цех оптом; швейный цех цена; сколько стоит швейный цех; швейный цех пошив</t>
  </si>
  <si>
    <t xml:space="preserve">-пошив -заказы</t>
  </si>
  <si>
    <t xml:space="preserve">швейная фабрика пошив; швейная фабрика заказы</t>
  </si>
  <si>
    <t xml:space="preserve">-wildberries -давальческое -сырье -лекала -стоимость -сколько -стоит -как -выбрать</t>
  </si>
  <si>
    <t xml:space="preserve">швейное производство для wildberries; давальческое сырье швейное производство; швейное производство давальческое сырье; лекала швейного производства; стоимость швейного производства; сколько стоит швейное производство</t>
  </si>
  <si>
    <t xml:space="preserve">-оптом -партии -wildberries -маркетплейсов -брендов -мелкосерийное -стартапа -ключ -бренда -своего -вашего -лекал -лекала -стоимость -как -найти</t>
  </si>
  <si>
    <t xml:space="preserve">производство одежды оптом; производство партии одежды; производство одежды для wildberries; производство одежды для маркетплейсов; производство одежды для брендов; мелкосерийное производство одежды</t>
  </si>
  <si>
    <t xml:space="preserve">-стоимость</t>
  </si>
  <si>
    <t xml:space="preserve">-сколько -стоит -цена -стоимость -как -делать -снять</t>
  </si>
  <si>
    <t xml:space="preserve">сколько стоит дтф печать; дтф печать цена; стоимость дтф печати; как делать дтф печать; как снять дтф печать</t>
  </si>
  <si>
    <t xml:space="preserve">-нанесение -стоимость -цена -сколько -стоит</t>
  </si>
  <si>
    <t xml:space="preserve">нанесение вышивки на одежду; стоимость вышивки на одежде; вышивка на одежде цена; сколько стоит вышивка на одежде</t>
  </si>
  <si>
    <t xml:space="preserve">-озон -как -сделать</t>
  </si>
  <si>
    <t xml:space="preserve">озон бирки для одежды; как сделать бирки для одежды</t>
  </si>
  <si>
    <t xml:space="preserve">-пошив -сколько -зарабатывает</t>
  </si>
  <si>
    <t xml:space="preserve">конструирование пошив одежды; сколько зарабатывает конструктор одежды</t>
  </si>
  <si>
    <t xml:space="preserve">-как -делать</t>
  </si>
  <si>
    <t xml:space="preserve">Правило: широкая фраза получает минус-слова из более узких фраз других групп, чтобы запрос показывался по самой точной группе. Внутри одной группы кросс-минусовка в Директе работает автоматически; между группами можно не делать, если в кампании включена приоритизация «По фразе, наиболее близкой к запросу».</t>
  </si>
  <si>
    <t xml:space="preserve">Месяц</t>
  </si>
  <si>
    <t xml:space="preserve">Сумма</t>
  </si>
  <si>
    <t xml:space="preserve">Индекс к среднему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</si>
  <si>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</si>
  <si>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</si>
  <si>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</si>
  <si>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</si>
  <si>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</si>
  <si>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</si>
  <si>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</si>
  <si>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</si>
  <si>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</si>
  <si>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</si>
  <si>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</si>
  <si>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</si>
  <si>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</si>
  <si>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</si>
  <si>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</si>
  <si>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</si>
  <si>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</si>
  <si>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</si>
  <si>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</si>
  <si>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</si>
  <si>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</si>
  <si>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</si>
  <si>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</si>
  <si>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</si>
  <si>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Челябинская область, широкая частота по месяцам. Индекс &gt; 1,2 = высокий сезон, &lt; 0,8 = спад. Для запуска рекламы смотреть месяцы перед пиком.</t>
  </si>
  <si>
    <t xml:space="preserve">Вопрос</t>
  </si>
  <si>
    <t xml:space="preserve">Почему важно для семантики</t>
  </si>
  <si>
    <t xml:space="preserve">Что поменяется</t>
  </si>
  <si>
    <t xml:space="preserve">Какая минимальная партия? В брифе три цифры: «от 300» (п. 2), «от 100» (п. 10), у брендов заказы «бывает 10» (п. 7).</t>
  </si>
  <si>
    <t xml:space="preserve">От цифры зависят фразы «от 100 штук / от 300 штук», объявления и калькулятор</t>
  </si>
  <si>
    <t xml:space="preserve">Ядро кластеров 02 и 04, тексты объявлений, порог калькулятора</t>
  </si>
  <si>
    <t xml:space="preserve">«Под ключ» (конструктор, технолог, ОТК, п. 10) и «работаем на давальческом сырье» (п. 2): ткань и фурнитуру покупаете вы или клиент?</t>
  </si>
  <si>
    <t xml:space="preserve">От ответа зависят и фразы «под ключ», и минус-слова про ткань</t>
  </si>
  <si>
    <t xml:space="preserve">Кластеры 01 и 06, минус «ткань оптом»</t>
  </si>
  <si>
    <t xml:space="preserve">Шьёте ли спецодежду, униформу, детскую одежду, футболки, костюмы, трикотаж?</t>
  </si>
  <si>
    <t xml:space="preserve">В брифе их нет. Это часть рынка, которую мы пока не берём и поставили в минусы</t>
  </si>
  <si>
    <t xml:space="preserve">Лист «Минус-слова», новые кластеры</t>
  </si>
  <si>
    <t xml:space="preserve">Какое название использовать? В брифе «Культура шитья», в соцсетях «24poshiv7» и «poshiv24_7», домен aksenovasew.ru.</t>
  </si>
  <si>
    <t xml:space="preserve">Брендовые запросы собираются по названию; три названия дробят узнаваемость</t>
  </si>
  <si>
    <t xml:space="preserve">Брендовая кампания, Яндекс Бизнес, метатеги</t>
  </si>
  <si>
    <t xml:space="preserve">Работаете ли с заказчиками из других регионов постоянно (доставка ТК)? Какие города приоритетны?</t>
  </si>
  <si>
    <t xml:space="preserve">Бизнес в Челябинске, а клиенты по всей России. Региональные частоты показывают только местный спрос</t>
  </si>
  <si>
    <t xml:space="preserve">Гео-кампании по Екатеринбургу, Москве и др.</t>
  </si>
  <si>
    <t xml:space="preserve">Нужно ли привлекать фразы «X оптом от производителя»?</t>
  </si>
  <si>
    <t xml:space="preserve">Их вводят оптовики, которым нужна готовая вещь, а не пошив</t>
  </si>
  <si>
    <t xml:space="preserve">Кластеры 07, 08, приоритет «Проверка»</t>
  </si>
  <si>
    <t xml:space="preserve">Запрос из Вордстата</t>
  </si>
  <si>
    <t xml:space="preserve">РФ, широкая</t>
  </si>
  <si>
    <t xml:space="preserve">Сработавшее минус-слово</t>
  </si>
  <si>
    <t xml:space="preserve">магазин спецодежды</t>
  </si>
  <si>
    <t xml:space="preserve">комбинезоны купить</t>
  </si>
  <si>
    <t xml:space="preserve">кофта купить</t>
  </si>
  <si>
    <t xml:space="preserve">пиджаки купить</t>
  </si>
  <si>
    <t xml:space="preserve">спецодежда купить</t>
  </si>
  <si>
    <t xml:space="preserve">ателье одежды</t>
  </si>
  <si>
    <t xml:space="preserve">выкройка брюк</t>
  </si>
  <si>
    <t xml:space="preserve">швея вакансии</t>
  </si>
  <si>
    <t xml:space="preserve">курсы шитья</t>
  </si>
  <si>
    <t xml:space="preserve">выкройки одежды</t>
  </si>
  <si>
    <t xml:space="preserve">характеристика с места работы образец</t>
  </si>
  <si>
    <t xml:space="preserve">ателье рядом</t>
  </si>
  <si>
    <t xml:space="preserve">как сшить юбку</t>
  </si>
  <si>
    <t xml:space="preserve">проект производства работ</t>
  </si>
  <si>
    <t xml:space="preserve">купить выкройку</t>
  </si>
  <si>
    <t xml:space="preserve">выкройка куртки</t>
  </si>
  <si>
    <t xml:space="preserve">как сшить платье</t>
  </si>
  <si>
    <t xml:space="preserve">ателье по ремонту одежды</t>
  </si>
  <si>
    <t xml:space="preserve">ателье рядом со мной</t>
  </si>
  <si>
    <t xml:space="preserve">выкройка комбинезона</t>
  </si>
  <si>
    <t xml:space="preserve">что такое наряд</t>
  </si>
  <si>
    <t xml:space="preserve">выкройка пальто</t>
  </si>
  <si>
    <t xml:space="preserve">жилет выкройка</t>
  </si>
  <si>
    <t xml:space="preserve">выкройка рубашки</t>
  </si>
  <si>
    <t xml:space="preserve">выкройки легко</t>
  </si>
  <si>
    <t xml:space="preserve">швейное ателье</t>
  </si>
  <si>
    <t xml:space="preserve">выкройка штанов</t>
  </si>
  <si>
    <t xml:space="preserve">готовые выкройки</t>
  </si>
  <si>
    <t xml:space="preserve">как подшить штаны</t>
  </si>
  <si>
    <t xml:space="preserve">портной это</t>
  </si>
  <si>
    <t xml:space="preserve">выкройка трусов</t>
  </si>
  <si>
    <t xml:space="preserve">выкройка джинс</t>
  </si>
  <si>
    <t xml:space="preserve">стирка спецодежды</t>
  </si>
  <si>
    <t xml:space="preserve">выкройка халата</t>
  </si>
  <si>
    <t xml:space="preserve">выкройка футболки</t>
  </si>
  <si>
    <t xml:space="preserve">ателье по пошиву одежды</t>
  </si>
  <si>
    <t xml:space="preserve">нитки для вышивания</t>
  </si>
  <si>
    <t xml:space="preserve">как сшить одежду</t>
  </si>
  <si>
    <t xml:space="preserve">сколько стоит швейная машинка</t>
  </si>
  <si>
    <t xml:space="preserve">пошив и ремонт одежды</t>
  </si>
  <si>
    <t xml:space="preserve">выкройка жакета</t>
  </si>
  <si>
    <t xml:space="preserve">фуфайка купить</t>
  </si>
  <si>
    <t xml:space="preserve">одежда для игрушек</t>
  </si>
  <si>
    <t xml:space="preserve">как сшить брюки</t>
  </si>
  <si>
    <t xml:space="preserve">выкройка кофты</t>
  </si>
  <si>
    <t xml:space="preserve">ателье это</t>
  </si>
  <si>
    <t xml:space="preserve">как сшить штаны</t>
  </si>
  <si>
    <t xml:space="preserve">трикотажное ателье</t>
  </si>
  <si>
    <t xml:space="preserve">выкройка толстовки</t>
  </si>
  <si>
    <t xml:space="preserve">купить футболку на вайлдберриз</t>
  </si>
  <si>
    <t xml:space="preserve">швейное производство вакансии</t>
  </si>
  <si>
    <t xml:space="preserve">подшив одежды</t>
  </si>
  <si>
    <t xml:space="preserve">я шью выкройки</t>
  </si>
  <si>
    <t xml:space="preserve">курсы швеи</t>
  </si>
  <si>
    <t xml:space="preserve">выкройка сорочки</t>
  </si>
  <si>
    <t xml:space="preserve">купить мотоэкипировку</t>
  </si>
  <si>
    <t xml:space="preserve">непонятный мастер ателье</t>
  </si>
  <si>
    <t xml:space="preserve">купить брендовую одежду</t>
  </si>
  <si>
    <t xml:space="preserve">вышивальная машина купить</t>
  </si>
  <si>
    <t xml:space="preserve">купить вышивальную машину</t>
  </si>
  <si>
    <t xml:space="preserve">на самом деле все выпуски</t>
  </si>
  <si>
    <t xml:space="preserve">сшить платье своими руками</t>
  </si>
  <si>
    <t xml:space="preserve">выкройки для шитья</t>
  </si>
  <si>
    <t xml:space="preserve">выкройки женской одежды</t>
  </si>
  <si>
    <t xml:space="preserve">работа швейное производство</t>
  </si>
  <si>
    <t xml:space="preserve">как сшить пальто</t>
  </si>
  <si>
    <t xml:space="preserve">ткань для спецодежды</t>
  </si>
  <si>
    <t xml:space="preserve">выкройка фуфайки</t>
  </si>
  <si>
    <t xml:space="preserve">выкройка майки</t>
  </si>
  <si>
    <t xml:space="preserve">купить нитки для шитья</t>
  </si>
  <si>
    <t xml:space="preserve">что такое мерч простыми словами</t>
  </si>
  <si>
    <t xml:space="preserve">сколько стоит подшить брюки</t>
  </si>
  <si>
    <t xml:space="preserve">как подшить футболку</t>
  </si>
  <si>
    <t xml:space="preserve">как сшить сарафан</t>
  </si>
  <si>
    <t xml:space="preserve">как сшить жилет</t>
  </si>
  <si>
    <t xml:space="preserve">сколько стоит подшить джинсы</t>
  </si>
  <si>
    <t xml:space="preserve">что такое трикотаж</t>
  </si>
  <si>
    <t xml:space="preserve">вакансии швейных фабрик</t>
  </si>
  <si>
    <t xml:space="preserve">центр спецодежды</t>
  </si>
  <si>
    <t xml:space="preserve">как обеспечить безопасность производства работ</t>
  </si>
  <si>
    <t xml:space="preserve">пошив свадебного платья</t>
  </si>
  <si>
    <t xml:space="preserve">ателье подшить брюки</t>
  </si>
  <si>
    <t xml:space="preserve">оборудование швейного производства</t>
  </si>
  <si>
    <t xml:space="preserve">ателье колдовских колпаков персонажи</t>
  </si>
  <si>
    <t xml:space="preserve">пошив платья в ателье</t>
  </si>
  <si>
    <t xml:space="preserve">ателье подшить джинсы</t>
  </si>
  <si>
    <t xml:space="preserve">работа швейном цеху</t>
  </si>
  <si>
    <t xml:space="preserve">как сшить юбку солнце</t>
  </si>
  <si>
    <t xml:space="preserve">я шью выкройки официальный</t>
  </si>
  <si>
    <t xml:space="preserve">ателье что это</t>
  </si>
  <si>
    <t xml:space="preserve">машинная вышивка бесплатно</t>
  </si>
  <si>
    <t xml:space="preserve">картинки для вышивания</t>
  </si>
  <si>
    <t xml:space="preserve">переулок швейный выкройки</t>
  </si>
  <si>
    <t xml:space="preserve">подшить брюки цена</t>
  </si>
  <si>
    <t xml:space="preserve">вышивка на одежде своими руками</t>
  </si>
  <si>
    <t xml:space="preserve">конструктор одежды вакансии</t>
  </si>
  <si>
    <t xml:space="preserve">скачать машинную вышивку</t>
  </si>
  <si>
    <t xml:space="preserve">all sews выкройки</t>
  </si>
  <si>
    <t xml:space="preserve">на швейной фабрике работает</t>
  </si>
  <si>
    <t xml:space="preserve">как сшить одежду для кукол</t>
  </si>
  <si>
    <t xml:space="preserve">машинная вышивка купить</t>
  </si>
  <si>
    <t xml:space="preserve">ателье настроение</t>
  </si>
  <si>
    <t xml:space="preserve">я шью выкройки официальный сайт</t>
  </si>
  <si>
    <t xml:space="preserve">дизайн машинной вышивки бесплатно</t>
  </si>
  <si>
    <t xml:space="preserve">как сшить косметичку на молнии</t>
  </si>
  <si>
    <t xml:space="preserve">юбка брюки выкройка</t>
  </si>
  <si>
    <t xml:space="preserve">постельное белье оптом от производителя</t>
  </si>
  <si>
    <t xml:space="preserve">купить швейное производство</t>
  </si>
  <si>
    <t xml:space="preserve">сшить сумку шоппер своими руками</t>
  </si>
  <si>
    <t xml:space="preserve">пошив одежды работа</t>
  </si>
  <si>
    <t xml:space="preserve">бесплатные выкройки женской одежды</t>
  </si>
  <si>
    <t xml:space="preserve">работа производстве одежды</t>
  </si>
  <si>
    <t xml:space="preserve">машинная вышивка скачать бесплатно</t>
  </si>
  <si>
    <t xml:space="preserve">скачать дизайн вышивку машинную</t>
  </si>
  <si>
    <t xml:space="preserve">что такое ателье</t>
  </si>
  <si>
    <t xml:space="preserve">купить швейную фабрику</t>
  </si>
  <si>
    <t xml:space="preserve">фото швейных фабрик</t>
  </si>
  <si>
    <t xml:space="preserve">вакансия технолог швейного производства</t>
  </si>
  <si>
    <t xml:space="preserve">швейные фабрики отзывы</t>
  </si>
  <si>
    <t xml:space="preserve">выкройки одежды для женщин</t>
  </si>
  <si>
    <t xml:space="preserve">бирки для одежды расшифровка</t>
  </si>
  <si>
    <t xml:space="preserve">выкройки изделий из кожи</t>
  </si>
  <si>
    <t xml:space="preserve">чем отличается пиджак от жакета</t>
  </si>
  <si>
    <t xml:space="preserve">одеяло без пододеяльника как называется</t>
  </si>
  <si>
    <t xml:space="preserve">конструктор одежды обучение</t>
  </si>
  <si>
    <t xml:space="preserve">швейная фабрика выпустила</t>
  </si>
  <si>
    <t xml:space="preserve">работа на швейной фабрике</t>
  </si>
  <si>
    <t xml:space="preserve">аспект спецодежда</t>
  </si>
  <si>
    <t xml:space="preserve">пошив одежды магазина</t>
  </si>
  <si>
    <t xml:space="preserve">как пошить брюки</t>
  </si>
  <si>
    <t xml:space="preserve">как рассчитать себестоимость продукции</t>
  </si>
  <si>
    <t xml:space="preserve">спец контракт сво что это</t>
  </si>
  <si>
    <t xml:space="preserve">дизайн машинной вышивки купить</t>
  </si>
  <si>
    <t xml:space="preserve">швейная фабрика гта онлайн</t>
  </si>
  <si>
    <t xml:space="preserve">знаки для бирок одежды</t>
  </si>
  <si>
    <t xml:space="preserve">знаки для этикетки одежды</t>
  </si>
  <si>
    <t xml:space="preserve">пошив одежды рядом со мной</t>
  </si>
  <si>
    <t xml:space="preserve">выкройка капюшона для куртки</t>
  </si>
  <si>
    <t xml:space="preserve">вакансии отк швейные производства</t>
  </si>
  <si>
    <t xml:space="preserve">сколько стоит подшить штаны</t>
  </si>
  <si>
    <t xml:space="preserve">вакансии в швейный цех</t>
  </si>
  <si>
    <t xml:space="preserve">оквэд производство одежды</t>
  </si>
  <si>
    <t xml:space="preserve">как пошить платье</t>
  </si>
  <si>
    <t xml:space="preserve">машинная вышивка скачать дизайны бесплатно</t>
  </si>
  <si>
    <t xml:space="preserve">нитки для машинной вышивки</t>
  </si>
  <si>
    <t xml:space="preserve">вечернее платье пошив</t>
  </si>
  <si>
    <t xml:space="preserve">виды швейного производства</t>
  </si>
  <si>
    <t xml:space="preserve">швейные производства ткани</t>
  </si>
  <si>
    <t xml:space="preserve">швейная фабрика гта 5</t>
  </si>
  <si>
    <t xml:space="preserve">оквэд пошив одежды</t>
  </si>
  <si>
    <t xml:space="preserve">обозначение на бирках для одежды</t>
  </si>
  <si>
    <t xml:space="preserve">форма м15 передача материалов подрядчику</t>
  </si>
  <si>
    <t xml:space="preserve">оператор оборудования швейного производства</t>
  </si>
  <si>
    <t xml:space="preserve">тсн принт</t>
  </si>
  <si>
    <t xml:space="preserve">значки стирки на вещах обозначения</t>
  </si>
  <si>
    <t xml:space="preserve">белошвейка это</t>
  </si>
  <si>
    <t xml:space="preserve">пример производства одежды примеры</t>
  </si>
  <si>
    <t xml:space="preserve">пошив брюк сколько ткани</t>
  </si>
  <si>
    <t xml:space="preserve">станок для вышивки на одежде</t>
  </si>
  <si>
    <t xml:space="preserve">женщины на швейной фабрике</t>
  </si>
  <si>
    <t xml:space="preserve">примеры швейного производства</t>
  </si>
  <si>
    <t xml:space="preserve">печать принта на футболке</t>
  </si>
  <si>
    <t xml:space="preserve">одежда пошив телефон</t>
  </si>
  <si>
    <t xml:space="preserve">виды пошива одежды</t>
  </si>
  <si>
    <t xml:space="preserve">швейная фабрика спецодежда</t>
  </si>
  <si>
    <t xml:space="preserve">калькуляция себестоимости это</t>
  </si>
  <si>
    <t xml:space="preserve">ателье пошив платьев на заказ</t>
  </si>
  <si>
    <t xml:space="preserve">работа конструктором одежды</t>
  </si>
  <si>
    <t xml:space="preserve">irnby одежда купить</t>
  </si>
  <si>
    <t xml:space="preserve">название производства одежды</t>
  </si>
  <si>
    <t xml:space="preserve">велфарм кто производитель где находится</t>
  </si>
  <si>
    <t xml:space="preserve">принтер для дтф печати</t>
  </si>
  <si>
    <t xml:space="preserve">класс производство одежды</t>
  </si>
  <si>
    <t xml:space="preserve">ткани для пошива брюк</t>
  </si>
  <si>
    <t xml:space="preserve">vitameal кто производитель</t>
  </si>
  <si>
    <t xml:space="preserve">швейное производство ооо</t>
  </si>
  <si>
    <t xml:space="preserve">конструктор технолог одежды</t>
  </si>
  <si>
    <t xml:space="preserve">вышивка на одежде для начинающих</t>
  </si>
  <si>
    <t xml:space="preserve">швейная фабрика сколько человек работает</t>
  </si>
  <si>
    <t xml:space="preserve">мастер по пошиву одежды 7</t>
  </si>
  <si>
    <t xml:space="preserve">сколько стоит укоротить пальто</t>
  </si>
  <si>
    <t xml:space="preserve">швейная фабрика швея</t>
  </si>
  <si>
    <t xml:space="preserve">комбидресс что это такое</t>
  </si>
  <si>
    <t xml:space="preserve">ермолино кто производитель</t>
  </si>
  <si>
    <t xml:space="preserve">как посчитать себестоимость продукции</t>
  </si>
  <si>
    <t xml:space="preserve">упаковщица в швейный цех</t>
  </si>
  <si>
    <t xml:space="preserve">ла форме выкройки</t>
  </si>
  <si>
    <t xml:space="preserve">ремонт и пошив одежды рядом</t>
  </si>
  <si>
    <t xml:space="preserve">швейное производство скачать</t>
  </si>
  <si>
    <t xml:space="preserve">технология пошива одежды</t>
  </si>
  <si>
    <t xml:space="preserve">номер телефона швейной фабрики</t>
  </si>
  <si>
    <t xml:space="preserve">вышивка на одежду купить</t>
  </si>
  <si>
    <t xml:space="preserve">швейное производство обязанности</t>
  </si>
  <si>
    <t xml:space="preserve">подшивка одежды</t>
  </si>
  <si>
    <t xml:space="preserve">история швейных фабрик</t>
  </si>
  <si>
    <t xml:space="preserve">курсы шитья и моделирования одежды</t>
  </si>
  <si>
    <t xml:space="preserve">класс одежда пошив</t>
  </si>
  <si>
    <t xml:space="preserve">класс платье пошив</t>
  </si>
  <si>
    <t xml:space="preserve">оператор машинной вышивки</t>
  </si>
  <si>
    <t xml:space="preserve">купить платье пошив</t>
  </si>
  <si>
    <t xml:space="preserve">машинная вышивка вакансии</t>
  </si>
  <si>
    <t xml:space="preserve">адрес ателье по пошиву одежды</t>
  </si>
  <si>
    <t xml:space="preserve">швея швейного производства</t>
  </si>
  <si>
    <t xml:space="preserve">мастер швейного цеха</t>
  </si>
  <si>
    <t xml:space="preserve">работа технолог швейного производства</t>
  </si>
  <si>
    <t xml:space="preserve">вакансии швейное производство москва</t>
  </si>
  <si>
    <t xml:space="preserve">ателье по пошиву одежды рядом</t>
  </si>
  <si>
    <t xml:space="preserve">швейные машины для производства</t>
  </si>
  <si>
    <t xml:space="preserve">фуфайка что это такое</t>
  </si>
  <si>
    <t xml:space="preserve">бизнес план пошива одежды</t>
  </si>
  <si>
    <t xml:space="preserve">ниссан кто производитель страна</t>
  </si>
  <si>
    <t xml:space="preserve">вышивка на одежде по фото</t>
  </si>
  <si>
    <t xml:space="preserve">называется пошив одежды</t>
  </si>
  <si>
    <t xml:space="preserve">скроила ру выкройки</t>
  </si>
  <si>
    <t xml:space="preserve">швейное производство обучение</t>
  </si>
  <si>
    <t xml:space="preserve">ткани пошива верхней одежды</t>
  </si>
  <si>
    <t xml:space="preserve">швейное производство отзывы</t>
  </si>
  <si>
    <t xml:space="preserve">программа для машинной вышивки</t>
  </si>
  <si>
    <t xml:space="preserve">упаковщица на швейное производство</t>
  </si>
  <si>
    <t xml:space="preserve">швейная фабрика гта 5 онлайн</t>
  </si>
  <si>
    <t xml:space="preserve">одежда пошив ремонт цена</t>
  </si>
  <si>
    <t xml:space="preserve">технологические процессы швейного производства</t>
  </si>
  <si>
    <t xml:space="preserve">modety ru выкройки</t>
  </si>
  <si>
    <t xml:space="preserve">beko чей бренд и производитель</t>
  </si>
  <si>
    <t xml:space="preserve">деятельность швейного производства</t>
  </si>
  <si>
    <t xml:space="preserve">швейная машинка чье производство</t>
  </si>
  <si>
    <t xml:space="preserve">услуги ремонт пошив одежды</t>
  </si>
  <si>
    <t xml:space="preserve">пошив одежды видео</t>
  </si>
  <si>
    <t xml:space="preserve">дтф печать купить</t>
  </si>
  <si>
    <t xml:space="preserve">конструктор технолог швейного производства</t>
  </si>
  <si>
    <t xml:space="preserve">профессия конструктор одежды</t>
  </si>
  <si>
    <t xml:space="preserve">прайс пошив ремонт одежды</t>
  </si>
  <si>
    <t xml:space="preserve">как убрать принт с кофты</t>
  </si>
  <si>
    <t xml:space="preserve">сколько стоит укоротить штаны</t>
  </si>
  <si>
    <t xml:space="preserve">вышивка на одежде как называется</t>
  </si>
  <si>
    <t xml:space="preserve">обучение машинной вышивке</t>
  </si>
  <si>
    <t xml:space="preserve">ткань для пошива рубашки</t>
  </si>
  <si>
    <t xml:space="preserve">как сшить юбку баллон</t>
  </si>
  <si>
    <t xml:space="preserve">швейная цех в иванова</t>
  </si>
  <si>
    <t xml:space="preserve">tiswell кто производитель</t>
  </si>
  <si>
    <t xml:space="preserve">виати кто производитель</t>
  </si>
  <si>
    <t xml:space="preserve">сайты пошив одежды</t>
  </si>
  <si>
    <t xml:space="preserve">производство одежды интернет магазин</t>
  </si>
  <si>
    <t xml:space="preserve">пошив одежды ооо</t>
  </si>
  <si>
    <t xml:space="preserve">швейная машинка для производства</t>
  </si>
  <si>
    <t xml:space="preserve">ткань для вышивания узоров</t>
  </si>
  <si>
    <t xml:space="preserve">обозначения на этикетках для одежды</t>
  </si>
  <si>
    <t xml:space="preserve">швейные цеха авито</t>
  </si>
  <si>
    <t xml:space="preserve">пошив одежды название</t>
  </si>
  <si>
    <t xml:space="preserve">пошива одежды деятельность</t>
  </si>
  <si>
    <t xml:space="preserve">швейная фабрика постельного белья</t>
  </si>
  <si>
    <t xml:space="preserve">пошив платьев для бальных танцев</t>
  </si>
  <si>
    <t xml:space="preserve">сайт производства одежды</t>
  </si>
  <si>
    <t xml:space="preserve">швейные цеха адреса</t>
  </si>
  <si>
    <t xml:space="preserve">кожа для пошива одежды купить</t>
  </si>
  <si>
    <t xml:space="preserve">ткани пошить платье</t>
  </si>
  <si>
    <t xml:space="preserve">калькулятор пошив</t>
  </si>
  <si>
    <t xml:space="preserve">швейный цех работает</t>
  </si>
  <si>
    <t xml:space="preserve">телефон ателье пошив одежды</t>
  </si>
  <si>
    <t xml:space="preserve">станки швейного производства</t>
  </si>
  <si>
    <t xml:space="preserve">купить ткань для пошива одежды</t>
  </si>
  <si>
    <t xml:space="preserve">создать футболку со своим принтом</t>
  </si>
  <si>
    <t xml:space="preserve">пакеты для упаковки одежды</t>
  </si>
  <si>
    <t xml:space="preserve">ателье по пошиву верхней одежды</t>
  </si>
  <si>
    <t xml:space="preserve">швейное производство видео</t>
  </si>
  <si>
    <t xml:space="preserve">работа швейном производстве вакансии</t>
  </si>
  <si>
    <t xml:space="preserve">себестоимость швейное производство</t>
  </si>
  <si>
    <t xml:space="preserve">значки на бирки для одежды</t>
  </si>
  <si>
    <t xml:space="preserve">авито пошив одежды</t>
  </si>
  <si>
    <t xml:space="preserve">производство одежды ооо</t>
  </si>
  <si>
    <t xml:space="preserve">швейная фабрика официальный сайт каталог</t>
  </si>
  <si>
    <t xml:space="preserve">пошив одежды отзывы</t>
  </si>
  <si>
    <t xml:space="preserve">контакты швейной фабрики</t>
  </si>
  <si>
    <t xml:space="preserve">пошив свадебного платья на заказ</t>
  </si>
  <si>
    <t xml:space="preserve">упаковщик на швейное производство</t>
  </si>
  <si>
    <t xml:space="preserve">упакоф</t>
  </si>
  <si>
    <t xml:space="preserve">авито швейное производство</t>
  </si>
  <si>
    <t xml:space="preserve">швейная фабрика названия</t>
  </si>
  <si>
    <t xml:space="preserve">вакуумная упаковка для одежды</t>
  </si>
  <si>
    <t xml:space="preserve">купить швейный цех</t>
  </si>
  <si>
    <t xml:space="preserve">манера одеваться интернет магазин</t>
  </si>
  <si>
    <t xml:space="preserve">пошив классических брюк</t>
  </si>
  <si>
    <t xml:space="preserve">магазин пошива платьев</t>
  </si>
  <si>
    <t xml:space="preserve">пошив платье выкройки</t>
  </si>
  <si>
    <t xml:space="preserve">курсы конструктора одежды</t>
  </si>
  <si>
    <t xml:space="preserve">бизнес ремонт пошив одежды</t>
  </si>
  <si>
    <t xml:space="preserve">пошив одежды самой</t>
  </si>
  <si>
    <t xml:space="preserve">профессия оператор швейного производства</t>
  </si>
  <si>
    <t xml:space="preserve">вакансия мастер швейного производства</t>
  </si>
  <si>
    <t xml:space="preserve">технология пошива брюк</t>
  </si>
  <si>
    <t xml:space="preserve">иванова пошив одежды</t>
  </si>
  <si>
    <t xml:space="preserve">пошив одежды иваново</t>
  </si>
  <si>
    <t xml:space="preserve">на швейном производстве работают</t>
  </si>
  <si>
    <t xml:space="preserve">пошив брюк класс</t>
  </si>
  <si>
    <t xml:space="preserve">ярославская швейная фабрика официальный</t>
  </si>
  <si>
    <t xml:space="preserve">кто шил форму для фашистов</t>
  </si>
  <si>
    <t xml:space="preserve">швея швейным цехе</t>
  </si>
  <si>
    <t xml:space="preserve">воплоти спецодежда</t>
  </si>
  <si>
    <t xml:space="preserve">швейная фабрика спецодежды сайт</t>
  </si>
  <si>
    <t xml:space="preserve">гудстич станки для вышивания</t>
  </si>
  <si>
    <t xml:space="preserve">значки для этикеток одежды</t>
  </si>
  <si>
    <t xml:space="preserve">работники швейной фабрики</t>
  </si>
  <si>
    <t xml:space="preserve">из какой ткани шьют футболки</t>
  </si>
  <si>
    <t xml:space="preserve">адреса швейных производств</t>
  </si>
  <si>
    <t xml:space="preserve">ярославская швейная фабрика официальный сайт</t>
  </si>
  <si>
    <t xml:space="preserve">ярославская швейная фабрика сайт</t>
  </si>
  <si>
    <t xml:space="preserve">оператор машинной вышивки вакансии</t>
  </si>
  <si>
    <t xml:space="preserve">свежие вакансии швейное производство</t>
  </si>
  <si>
    <t xml:space="preserve">помещения швейного цеха</t>
  </si>
  <si>
    <t xml:space="preserve">бирки для одежды купить</t>
  </si>
  <si>
    <t xml:space="preserve">курсы швейного производства</t>
  </si>
  <si>
    <t xml:space="preserve">курсы по пошиву одежды</t>
  </si>
  <si>
    <t xml:space="preserve">швейная фабрика спецодежда официальный сайт</t>
  </si>
  <si>
    <t xml:space="preserve">купить футболку со своим принтом</t>
  </si>
  <si>
    <t xml:space="preserve">пошив платья курсы</t>
  </si>
  <si>
    <t xml:space="preserve">швейное производство екатеринбург вакансии</t>
  </si>
  <si>
    <t xml:space="preserve">пошив брюк мастера</t>
  </si>
  <si>
    <t xml:space="preserve">ателье одежда пошив ремонт цена</t>
  </si>
  <si>
    <t xml:space="preserve">швейное производство иваново вакансии</t>
  </si>
  <si>
    <t xml:space="preserve">ателье по пошиву женской одежды</t>
  </si>
  <si>
    <t xml:space="preserve">вакансия упаковщица в швейный цех</t>
  </si>
  <si>
    <t xml:space="preserve">пошив ремонт верхней одежды</t>
  </si>
  <si>
    <t xml:space="preserve">как называется швейная фабрика</t>
  </si>
  <si>
    <t xml:space="preserve">фабрика ремонта и пошива одежды</t>
  </si>
  <si>
    <t xml:space="preserve">белмедпрепараты кто производитель</t>
  </si>
  <si>
    <t xml:space="preserve">этикетки для одежды что означают</t>
  </si>
  <si>
    <t xml:space="preserve">бирки для одежды значение</t>
  </si>
  <si>
    <t xml:space="preserve">женский купить одежда пошив</t>
  </si>
  <si>
    <t xml:space="preserve">режим работы швейной фабрики</t>
  </si>
  <si>
    <t xml:space="preserve">принт на одежду вышивка</t>
  </si>
  <si>
    <t xml:space="preserve">отзывы на вышивке одежды</t>
  </si>
  <si>
    <t xml:space="preserve">вышивка тканью на одежде</t>
  </si>
  <si>
    <t xml:space="preserve">пошив брюк видео</t>
  </si>
  <si>
    <t xml:space="preserve">швейный цех фото</t>
  </si>
  <si>
    <t xml:space="preserve">схема производства одежды</t>
  </si>
  <si>
    <t xml:space="preserve">шитье своими руками платья костюмы</t>
  </si>
  <si>
    <t xml:space="preserve">технолог швейного производства обучение</t>
  </si>
  <si>
    <t xml:space="preserve">пошив брюк мастер класс</t>
  </si>
  <si>
    <t xml:space="preserve">мастер по пошиву платьев</t>
  </si>
  <si>
    <t xml:space="preserve">мастер по пошиву одежды ответ</t>
  </si>
  <si>
    <t xml:space="preserve">ярославская швейная фабрика спецодежда официальный</t>
  </si>
  <si>
    <t xml:space="preserve">швейная фабрика рядом</t>
  </si>
  <si>
    <t xml:space="preserve">выпускной пошив платья</t>
  </si>
  <si>
    <t xml:space="preserve">пошив брюк выкройка</t>
  </si>
  <si>
    <t xml:space="preserve">бренд alo кто производитель</t>
  </si>
  <si>
    <t xml:space="preserve">технолог швейного производства москве</t>
  </si>
  <si>
    <t xml:space="preserve">услуги ателье пошиву одежды</t>
  </si>
  <si>
    <t xml:space="preserve">katy pretty одежда кто производитель</t>
  </si>
  <si>
    <t xml:space="preserve">ателье по пошиву брюк</t>
  </si>
  <si>
    <t xml:space="preserve">символы на этикетках для одежды</t>
  </si>
  <si>
    <t xml:space="preserve">швейный цех ткани</t>
  </si>
  <si>
    <t xml:space="preserve">бизнес план пошив ремонт одежды</t>
  </si>
  <si>
    <t xml:space="preserve">ателье пошив одежды на заказ</t>
  </si>
  <si>
    <t xml:space="preserve">швейная фабрика оборудование</t>
  </si>
  <si>
    <t xml:space="preserve">конструктор одежды бесплатно</t>
  </si>
  <si>
    <t xml:space="preserve">ателье по пошиву одежды г</t>
  </si>
  <si>
    <t xml:space="preserve">пошив одежды фото</t>
  </si>
  <si>
    <t xml:space="preserve">вакансии в швейном производстве пенза</t>
  </si>
  <si>
    <t xml:space="preserve">вышивка на одежде пошагово</t>
  </si>
  <si>
    <t xml:space="preserve">техник швейного производства</t>
  </si>
  <si>
    <t xml:space="preserve">техника швейного производства</t>
  </si>
  <si>
    <t xml:space="preserve">швейные фабрики школьная форма</t>
  </si>
  <si>
    <t xml:space="preserve">модельер конструктор одежды обучение</t>
  </si>
  <si>
    <t xml:space="preserve">колледж швейное производство</t>
  </si>
  <si>
    <t xml:space="preserve">контролер швейного производства вакансии</t>
  </si>
  <si>
    <t xml:space="preserve">сварочное производство специальность что это</t>
  </si>
  <si>
    <t xml:space="preserve">классификация швейного производства</t>
  </si>
  <si>
    <t xml:space="preserve">пошив платья в ателье цена</t>
  </si>
  <si>
    <t xml:space="preserve">одежда работников пищевого производства</t>
  </si>
  <si>
    <t xml:space="preserve">одеть надеть правило с примерами</t>
  </si>
  <si>
    <t xml:space="preserve">производств швейная машинка купить</t>
  </si>
  <si>
    <t xml:space="preserve">швейная фабрика вариант</t>
  </si>
  <si>
    <t xml:space="preserve">названия швейных производств</t>
  </si>
  <si>
    <t xml:space="preserve">халат хирургический одноразовый стерильный купить</t>
  </si>
  <si>
    <t xml:space="preserve">пошив одежды вакансии</t>
  </si>
  <si>
    <t xml:space="preserve">технолог швейного цеха</t>
  </si>
  <si>
    <t xml:space="preserve">оквэд швейное производство</t>
  </si>
  <si>
    <t xml:space="preserve">технология пошива платьев</t>
  </si>
  <si>
    <t xml:space="preserve">принт дизайн ресурс</t>
  </si>
  <si>
    <t xml:space="preserve">нитки для машинной вышивки купить</t>
  </si>
  <si>
    <t xml:space="preserve">видео швейных фабрик</t>
  </si>
  <si>
    <t xml:space="preserve">цифровые технологии на производстве одежды</t>
  </si>
  <si>
    <t xml:space="preserve">пошив одежды обучение</t>
  </si>
  <si>
    <t xml:space="preserve">швейная машина в цех</t>
  </si>
  <si>
    <t xml:space="preserve">лекала для одежды купить</t>
  </si>
  <si>
    <t xml:space="preserve">вакансии отк швейное производство екатеринбург</t>
  </si>
  <si>
    <t xml:space="preserve">дтф печать на ткани</t>
  </si>
  <si>
    <t xml:space="preserve">вышивка на одежду картинки</t>
  </si>
  <si>
    <t xml:space="preserve">подготовка швейного производства</t>
  </si>
  <si>
    <t xml:space="preserve">вакансия конструктор одежды в москве</t>
  </si>
  <si>
    <t xml:space="preserve">контролер отк швейного производства вакансии</t>
  </si>
  <si>
    <t xml:space="preserve">оператор машинной вышивки москва</t>
  </si>
  <si>
    <t xml:space="preserve">колледж конструктор одежды</t>
  </si>
  <si>
    <t xml:space="preserve">одежда пошив работа ремонт</t>
  </si>
  <si>
    <t xml:space="preserve">швейный цех номер</t>
  </si>
  <si>
    <t xml:space="preserve">швейный цех отзывы</t>
  </si>
  <si>
    <t xml:space="preserve">Обл., точная</t>
  </si>
  <si>
    <t xml:space="preserve">Почему отсеян</t>
  </si>
  <si>
    <t xml:space="preserve">изготовление</t>
  </si>
  <si>
    <t xml:space="preserve">нет слов темы</t>
  </si>
  <si>
    <t xml:space="preserve">кофта</t>
  </si>
  <si>
    <t xml:space="preserve">наряд</t>
  </si>
  <si>
    <t xml:space="preserve">кто производитель</t>
  </si>
  <si>
    <t xml:space="preserve">комбинат</t>
  </si>
  <si>
    <t xml:space="preserve">промысел</t>
  </si>
  <si>
    <t xml:space="preserve">толстовка</t>
  </si>
  <si>
    <t xml:space="preserve">нет признака услуги или заказа</t>
  </si>
  <si>
    <t xml:space="preserve">контракт на сво</t>
  </si>
  <si>
    <t xml:space="preserve">clothing</t>
  </si>
  <si>
    <t xml:space="preserve">jacket</t>
  </si>
  <si>
    <t xml:space="preserve">вышивание</t>
  </si>
  <si>
    <t xml:space="preserve">эксперимент это</t>
  </si>
  <si>
    <t xml:space="preserve">рубаха</t>
  </si>
  <si>
    <t xml:space="preserve">фирмы одежды</t>
  </si>
  <si>
    <t xml:space="preserve">экспериментатор</t>
  </si>
  <si>
    <t xml:space="preserve">как шить</t>
  </si>
  <si>
    <t xml:space="preserve">завод изготовитель</t>
  </si>
  <si>
    <t xml:space="preserve">ее формы как бомба</t>
  </si>
  <si>
    <t xml:space="preserve">набор для вышивания</t>
  </si>
  <si>
    <t xml:space="preserve">моды на фабрик</t>
  </si>
  <si>
    <t xml:space="preserve">шмотки</t>
  </si>
  <si>
    <t xml:space="preserve">фабрика качества</t>
  </si>
  <si>
    <t xml:space="preserve">военная служба по контракту</t>
  </si>
  <si>
    <t xml:space="preserve">как вышивать</t>
  </si>
  <si>
    <t xml:space="preserve">hoodie</t>
  </si>
  <si>
    <t xml:space="preserve">sewing</t>
  </si>
  <si>
    <t xml:space="preserve">фабрика это</t>
  </si>
  <si>
    <t xml:space="preserve">я шью</t>
  </si>
  <si>
    <t xml:space="preserve">технологический техникум</t>
  </si>
  <si>
    <t xml:space="preserve">изготовление номеров</t>
  </si>
  <si>
    <t xml:space="preserve">футболка с принтом</t>
  </si>
  <si>
    <t xml:space="preserve">сделать футболку</t>
  </si>
  <si>
    <t xml:space="preserve">сюртук</t>
  </si>
  <si>
    <t xml:space="preserve">мануфактура это</t>
  </si>
  <si>
    <t xml:space="preserve">флисовая кофта</t>
  </si>
  <si>
    <t xml:space="preserve">кофта с капюшоном</t>
  </si>
  <si>
    <t xml:space="preserve">что можно сшить</t>
  </si>
  <si>
    <t xml:space="preserve">a market</t>
  </si>
  <si>
    <t xml:space="preserve">обтягивающие штаны</t>
  </si>
  <si>
    <t xml:space="preserve">нпз это</t>
  </si>
  <si>
    <t xml:space="preserve">рассчитать кбжу</t>
  </si>
  <si>
    <t xml:space="preserve">заключить контракт на сво</t>
  </si>
  <si>
    <t xml:space="preserve">а маркет</t>
  </si>
  <si>
    <t xml:space="preserve">промышленная революция это</t>
  </si>
  <si>
    <t xml:space="preserve">пальто это</t>
  </si>
  <si>
    <t xml:space="preserve">куртка рубашка</t>
  </si>
  <si>
    <t xml:space="preserve">брендовая одежда</t>
  </si>
  <si>
    <t xml:space="preserve">кюлоты</t>
  </si>
  <si>
    <t xml:space="preserve">форма и стиль</t>
  </si>
  <si>
    <t xml:space="preserve">знаки на одежде</t>
  </si>
  <si>
    <t xml:space="preserve">ремесло это</t>
  </si>
  <si>
    <t xml:space="preserve">виды трусов</t>
  </si>
  <si>
    <t xml:space="preserve">шью одежда</t>
  </si>
  <si>
    <t xml:space="preserve">марки одежды</t>
  </si>
  <si>
    <t xml:space="preserve">расчет себестоимости</t>
  </si>
  <si>
    <t xml:space="preserve">пакет одежды</t>
  </si>
  <si>
    <t xml:space="preserve">текстильная промышленность</t>
  </si>
  <si>
    <t xml:space="preserve">мерч это</t>
  </si>
  <si>
    <t xml:space="preserve">свитшот женский</t>
  </si>
  <si>
    <t xml:space="preserve">бережливое производство это</t>
  </si>
  <si>
    <t xml:space="preserve">что распечатать на принтере</t>
  </si>
  <si>
    <t xml:space="preserve">прототип это</t>
  </si>
  <si>
    <t xml:space="preserve">виды платьев</t>
  </si>
  <si>
    <t xml:space="preserve">заказать футболку</t>
  </si>
  <si>
    <t xml:space="preserve">в цехе или в цеху</t>
  </si>
  <si>
    <t xml:space="preserve">шьем платье</t>
  </si>
  <si>
    <t xml:space="preserve">колледж сервиса и технологий</t>
  </si>
  <si>
    <t xml:space="preserve">формат 18</t>
  </si>
  <si>
    <t xml:space="preserve">шито крыто</t>
  </si>
  <si>
    <t xml:space="preserve">пиджак это</t>
  </si>
  <si>
    <t xml:space="preserve">значки стирки на одежде</t>
  </si>
  <si>
    <t xml:space="preserve">фильм пора на завод</t>
  </si>
  <si>
    <t xml:space="preserve">колледж отраслевых технологий</t>
  </si>
  <si>
    <t xml:space="preserve">расчета или рассчета</t>
  </si>
  <si>
    <t xml:space="preserve">чехол для одежды</t>
  </si>
  <si>
    <t xml:space="preserve">ярлыки на одежде</t>
  </si>
  <si>
    <t xml:space="preserve">наклейки на одежду</t>
  </si>
  <si>
    <t xml:space="preserve">свитшот это</t>
  </si>
  <si>
    <t xml:space="preserve">что можно распечатать на принтере</t>
  </si>
  <si>
    <t xml:space="preserve">техникум отраслевых технологий</t>
  </si>
  <si>
    <t xml:space="preserve">наша мода</t>
  </si>
  <si>
    <t xml:space="preserve">печать на одежде</t>
  </si>
  <si>
    <t xml:space="preserve">значки на одежде для стирки</t>
  </si>
  <si>
    <t xml:space="preserve">sweatshirt</t>
  </si>
  <si>
    <t xml:space="preserve">русская рубаха</t>
  </si>
  <si>
    <t xml:space="preserve">виды кофт</t>
  </si>
  <si>
    <t xml:space="preserve">костюм л 1</t>
  </si>
  <si>
    <t xml:space="preserve">журнал я шью</t>
  </si>
  <si>
    <t xml:space="preserve">cs2 market</t>
  </si>
  <si>
    <t xml:space="preserve">все для шитья</t>
  </si>
  <si>
    <t xml:space="preserve">моделирование одежды</t>
  </si>
  <si>
    <t xml:space="preserve">виды брюк</t>
  </si>
  <si>
    <t xml:space="preserve">магазин для шитья</t>
  </si>
  <si>
    <t xml:space="preserve">фонд развития промышленности</t>
  </si>
  <si>
    <t xml:space="preserve">мама сшила мне штаны</t>
  </si>
  <si>
    <t xml:space="preserve">автоматизация технологических процессов и производств</t>
  </si>
  <si>
    <t xml:space="preserve">что можно напечатать на принтере</t>
  </si>
  <si>
    <t xml:space="preserve">кончил на одежду</t>
  </si>
  <si>
    <t xml:space="preserve">расчет купе</t>
  </si>
  <si>
    <t xml:space="preserve">чеботков</t>
  </si>
  <si>
    <t xml:space="preserve">рабочие штаны</t>
  </si>
  <si>
    <t xml:space="preserve">как зашить штаны</t>
  </si>
  <si>
    <t xml:space="preserve">школа шитья</t>
  </si>
  <si>
    <t xml:space="preserve">технолог пищевого производства</t>
  </si>
  <si>
    <t xml:space="preserve">фабрика процессов</t>
  </si>
  <si>
    <t xml:space="preserve">магазин брендовой одежды</t>
  </si>
  <si>
    <t xml:space="preserve">мерить одежду</t>
  </si>
  <si>
    <t xml:space="preserve">производственно торговая компания</t>
  </si>
  <si>
    <t xml:space="preserve">мир шитья</t>
  </si>
  <si>
    <t xml:space="preserve">вышивание бисером</t>
  </si>
  <si>
    <t xml:space="preserve">принт нет</t>
  </si>
  <si>
    <t xml:space="preserve">clothes off</t>
  </si>
  <si>
    <t xml:space="preserve">кофта на молнии как называется</t>
  </si>
  <si>
    <t xml:space="preserve">плащ одежда</t>
  </si>
  <si>
    <t xml:space="preserve">худи одежда</t>
  </si>
  <si>
    <t xml:space="preserve">что можно сшить из ткани</t>
  </si>
  <si>
    <t xml:space="preserve">как правильно шить</t>
  </si>
  <si>
    <t xml:space="preserve">создать футболку</t>
  </si>
  <si>
    <t xml:space="preserve">сделать свою футболку</t>
  </si>
  <si>
    <t xml:space="preserve">уколы для похудения какие лучше</t>
  </si>
  <si>
    <t xml:space="preserve">канва для вышивания</t>
  </si>
  <si>
    <t xml:space="preserve">флисовые штаны</t>
  </si>
  <si>
    <t xml:space="preserve">виды пальто</t>
  </si>
  <si>
    <t xml:space="preserve">покрасить одежду</t>
  </si>
  <si>
    <t xml:space="preserve">как начать худеть</t>
  </si>
  <si>
    <t xml:space="preserve">сукно это</t>
  </si>
  <si>
    <t xml:space="preserve">калькуляция себестоимости</t>
  </si>
  <si>
    <t xml:space="preserve">отелье</t>
  </si>
  <si>
    <t xml:space="preserve">виды купальников</t>
  </si>
  <si>
    <t xml:space="preserve">тева производитель</t>
  </si>
  <si>
    <t xml:space="preserve">ярлыки на одежде для стирки</t>
  </si>
  <si>
    <t xml:space="preserve">комбинезон это</t>
  </si>
  <si>
    <t xml:space="preserve">футболка со своим принтом</t>
  </si>
  <si>
    <t xml:space="preserve">дизайны машинной вышивки</t>
  </si>
  <si>
    <t xml:space="preserve">как шить на швейной машинке</t>
  </si>
  <si>
    <t xml:space="preserve">fun print</t>
  </si>
  <si>
    <t xml:space="preserve">кардиган вайлдберриз</t>
  </si>
  <si>
    <t xml:space="preserve">что можно сшить из фетра</t>
  </si>
  <si>
    <t xml:space="preserve">калькуляция это</t>
  </si>
  <si>
    <t xml:space="preserve">как рассчитать себестоимость</t>
  </si>
  <si>
    <t xml:space="preserve">заказать мерч</t>
  </si>
  <si>
    <t xml:space="preserve">я сошью себе рубаху</t>
  </si>
  <si>
    <t xml:space="preserve">рубашонка</t>
  </si>
  <si>
    <t xml:space="preserve">шортцы</t>
  </si>
  <si>
    <t xml:space="preserve">толстовка это</t>
  </si>
  <si>
    <t xml:space="preserve">риолис наборы для вышивания</t>
  </si>
  <si>
    <t xml:space="preserve">dtf принтер</t>
  </si>
  <si>
    <t xml:space="preserve">швейно вышивальная машина</t>
  </si>
  <si>
    <t xml:space="preserve">пряжа центр</t>
  </si>
  <si>
    <t xml:space="preserve">двубортный костюм</t>
  </si>
  <si>
    <t xml:space="preserve">расчет себестоимости продукции</t>
  </si>
  <si>
    <t xml:space="preserve">пяльцы для вышивания</t>
  </si>
  <si>
    <t xml:space="preserve">штаны на лямках</t>
  </si>
  <si>
    <t xml:space="preserve">сделать принт на футболке</t>
  </si>
  <si>
    <t xml:space="preserve">жакет это</t>
  </si>
  <si>
    <t xml:space="preserve">как выглядит контракт на сво</t>
  </si>
  <si>
    <t xml:space="preserve">магазин все для шитья</t>
  </si>
  <si>
    <t xml:space="preserve">служба по контракту в тылу</t>
  </si>
  <si>
    <t xml:space="preserve">пододеяльник это</t>
  </si>
  <si>
    <t xml:space="preserve">v2sd одежда</t>
  </si>
  <si>
    <t xml:space="preserve">как вышивать гладью</t>
  </si>
  <si>
    <t xml:space="preserve">лоскутное шитье для начинающих</t>
  </si>
  <si>
    <t xml:space="preserve">бережливое производство что это</t>
  </si>
  <si>
    <t xml:space="preserve">производства пакистана</t>
  </si>
  <si>
    <t xml:space="preserve">ю маркет</t>
  </si>
  <si>
    <t xml:space="preserve">юникло одежда</t>
  </si>
  <si>
    <t xml:space="preserve">платье пошив ткань</t>
  </si>
  <si>
    <t xml:space="preserve">продакшн это</t>
  </si>
  <si>
    <t xml:space="preserve">академия промышленных технологий</t>
  </si>
  <si>
    <t xml:space="preserve">надпись на курточке</t>
  </si>
  <si>
    <t xml:space="preserve">спец контракт сво</t>
  </si>
  <si>
    <t xml:space="preserve">ткань для вышивания</t>
  </si>
  <si>
    <t xml:space="preserve">брендинг это</t>
  </si>
  <si>
    <t xml:space="preserve">сайт швейной фабрики</t>
  </si>
  <si>
    <t xml:space="preserve">наволочка это</t>
  </si>
  <si>
    <t xml:space="preserve">сорочка это</t>
  </si>
  <si>
    <t xml:space="preserve">штаны в обтяжку</t>
  </si>
  <si>
    <t xml:space="preserve">технолог швейного производства</t>
  </si>
  <si>
    <t xml:space="preserve">nume одежда</t>
  </si>
  <si>
    <t xml:space="preserve">сквирт в штаны</t>
  </si>
  <si>
    <t xml:space="preserve">вышивальная машина janome</t>
  </si>
  <si>
    <t xml:space="preserve">спец контракт бпла</t>
  </si>
  <si>
    <t xml:space="preserve">реневал производитель</t>
  </si>
  <si>
    <t xml:space="preserve">официальные сайты швейных фабрик</t>
  </si>
  <si>
    <t xml:space="preserve">вышивание гладью</t>
  </si>
  <si>
    <t xml:space="preserve">швейный шаг</t>
  </si>
  <si>
    <t xml:space="preserve">шитье седины что это</t>
  </si>
  <si>
    <t xml:space="preserve">мм маркет</t>
  </si>
  <si>
    <t xml:space="preserve">какое производство одежды</t>
  </si>
  <si>
    <t xml:space="preserve">производства женский одежда</t>
  </si>
  <si>
    <t xml:space="preserve">разработка фирменного стиля</t>
  </si>
  <si>
    <t xml:space="preserve">ткань район что это</t>
  </si>
  <si>
    <t xml:space="preserve">фуфайка это</t>
  </si>
  <si>
    <t xml:space="preserve">фэшн фабрик</t>
  </si>
  <si>
    <t xml:space="preserve">меньше чем три мерч</t>
  </si>
  <si>
    <t xml:space="preserve">как посчитать наценку</t>
  </si>
  <si>
    <t xml:space="preserve">тм маркет</t>
  </si>
  <si>
    <t xml:space="preserve">мастер по пошиву одежды</t>
  </si>
  <si>
    <t xml:space="preserve">одежда чье производство</t>
  </si>
  <si>
    <t xml:space="preserve">изготовление госномеров</t>
  </si>
  <si>
    <t xml:space="preserve">бирюса кто производитель</t>
  </si>
  <si>
    <t xml:space="preserve">итд мерч</t>
  </si>
  <si>
    <t xml:space="preserve">кофта трешер</t>
  </si>
  <si>
    <t xml:space="preserve">создать свою футболку</t>
  </si>
  <si>
    <t xml:space="preserve">брендовые футболки</t>
  </si>
  <si>
    <t xml:space="preserve">znwr одежда</t>
  </si>
  <si>
    <t xml:space="preserve">расчет наценки</t>
  </si>
  <si>
    <t xml:space="preserve">конструирование изделий легкой промышленности</t>
  </si>
  <si>
    <t xml:space="preserve">пронумеровано и прошнуровано образец 2026</t>
  </si>
  <si>
    <t xml:space="preserve">перкаль или бязь что лучше</t>
  </si>
  <si>
    <t xml:space="preserve">какая швейная фабрика</t>
  </si>
  <si>
    <t xml:space="preserve">фирменный стиль это</t>
  </si>
  <si>
    <t xml:space="preserve">знаки на этикетках одежды</t>
  </si>
  <si>
    <t xml:space="preserve">свитер женский на вайлдберриз</t>
  </si>
  <si>
    <t xml:space="preserve">справка объективка образец</t>
  </si>
  <si>
    <t xml:space="preserve">служба по контракту сво заявка</t>
  </si>
  <si>
    <t xml:space="preserve">кто шьет одежду</t>
  </si>
  <si>
    <t xml:space="preserve">ооо швейная фабрика</t>
  </si>
  <si>
    <t xml:space="preserve">ам маркет</t>
  </si>
  <si>
    <t xml:space="preserve">вторсырье это</t>
  </si>
  <si>
    <t xml:space="preserve">тенет кто производитель</t>
  </si>
  <si>
    <t xml:space="preserve">расчет или рассчет как правильно</t>
  </si>
  <si>
    <t xml:space="preserve">мастер по изготовлению швейных изделий</t>
  </si>
  <si>
    <t xml:space="preserve">калькуляция себестоимости продукции</t>
  </si>
  <si>
    <t xml:space="preserve">свитшот с капюшоном</t>
  </si>
  <si>
    <t xml:space="preserve">фан принт</t>
  </si>
  <si>
    <t xml:space="preserve">бирки на одежде для стирки</t>
  </si>
  <si>
    <t xml:space="preserve">почему принтер печатает пустые листы</t>
  </si>
  <si>
    <t xml:space="preserve">знаки на ярлыках одежды</t>
  </si>
  <si>
    <t xml:space="preserve">шитье седины что это такое</t>
  </si>
  <si>
    <t xml:space="preserve">машинка для вышивания</t>
  </si>
  <si>
    <t xml:space="preserve">свитшот с воротником</t>
  </si>
  <si>
    <t xml:space="preserve">заказать футболку с принтом</t>
  </si>
  <si>
    <t xml:space="preserve">бывшая швейная фабрика</t>
  </si>
  <si>
    <t xml:space="preserve">швейная фабрика г</t>
  </si>
  <si>
    <t xml:space="preserve">этикетки для одежды стирка</t>
  </si>
  <si>
    <t xml:space="preserve">рубикон служба по контракту</t>
  </si>
  <si>
    <t xml:space="preserve">суть производство одежды</t>
  </si>
  <si>
    <t xml:space="preserve">сделать надпись на футболке</t>
  </si>
  <si>
    <t xml:space="preserve">африканский корпус служба по контракту</t>
  </si>
  <si>
    <t xml:space="preserve">шит цу</t>
  </si>
  <si>
    <t xml:space="preserve">производство одежды и обуви</t>
  </si>
  <si>
    <t xml:space="preserve">как шить крючком</t>
  </si>
  <si>
    <t xml:space="preserve">швейная фабрика 1</t>
  </si>
  <si>
    <t xml:space="preserve">фабрика рошен</t>
  </si>
  <si>
    <t xml:space="preserve">подтяжки для штанов</t>
  </si>
  <si>
    <t xml:space="preserve">свитшот вайлдберриз</t>
  </si>
  <si>
    <t xml:space="preserve">под юбкой в магазине</t>
  </si>
  <si>
    <t xml:space="preserve">izt market</t>
  </si>
  <si>
    <t xml:space="preserve">ткани для пошива одежды</t>
  </si>
  <si>
    <t xml:space="preserve">ян маркет</t>
  </si>
  <si>
    <t xml:space="preserve">гри одежда</t>
  </si>
  <si>
    <t xml:space="preserve">машинка для вышивки на одежде</t>
  </si>
  <si>
    <t xml:space="preserve">как называется короткое пальто</t>
  </si>
  <si>
    <t xml:space="preserve">чем отличается поплин от бязи</t>
  </si>
  <si>
    <t xml:space="preserve">чем отличается бязь от поплина</t>
  </si>
  <si>
    <t xml:space="preserve">производство швейных изделий</t>
  </si>
  <si>
    <t xml:space="preserve">швейные фабрики город</t>
  </si>
  <si>
    <t xml:space="preserve">уколы для похудения без рецепта</t>
  </si>
  <si>
    <t xml:space="preserve">производство верхней одежды</t>
  </si>
  <si>
    <t xml:space="preserve">заказать футболку со своим принтом</t>
  </si>
  <si>
    <t xml:space="preserve">адрес швейной фабрики</t>
  </si>
  <si>
    <t xml:space="preserve">рассчитать цену за кг</t>
  </si>
  <si>
    <t xml:space="preserve">чем отличается лонгслив от свитшота</t>
  </si>
  <si>
    <t xml:space="preserve">1 швейное производство</t>
  </si>
  <si>
    <t xml:space="preserve">сколько стоит сменить фамилию</t>
  </si>
  <si>
    <t xml:space="preserve">швейная фабрика 2</t>
  </si>
  <si>
    <t xml:space="preserve">напечатать текст онлайн и распечатать</t>
  </si>
  <si>
    <t xml:space="preserve">магазин одежды производстве</t>
  </si>
  <si>
    <t xml:space="preserve">где швейная фабрика</t>
  </si>
  <si>
    <t xml:space="preserve">tenet кто производитель</t>
  </si>
  <si>
    <t xml:space="preserve">figura одежда</t>
  </si>
  <si>
    <t xml:space="preserve">uset одежда</t>
  </si>
  <si>
    <t xml:space="preserve">ямз маркет</t>
  </si>
  <si>
    <t xml:space="preserve">рбх маркет</t>
  </si>
  <si>
    <t xml:space="preserve">кто носит фирму адидас</t>
  </si>
  <si>
    <t xml:space="preserve">вышивка бисером на одежде</t>
  </si>
  <si>
    <t xml:space="preserve">роба одежда</t>
  </si>
  <si>
    <t xml:space="preserve">знаки на бирке одежды</t>
  </si>
  <si>
    <t xml:space="preserve">швейная фабрика область</t>
  </si>
  <si>
    <t xml:space="preserve">анорак что это за одежда</t>
  </si>
  <si>
    <t xml:space="preserve">одежда швейной фабрики</t>
  </si>
  <si>
    <t xml:space="preserve">швейной фабрики 5</t>
  </si>
  <si>
    <t xml:space="preserve">значки на бирке одежды</t>
  </si>
  <si>
    <t xml:space="preserve">бренды одежды производство</t>
  </si>
  <si>
    <t xml:space="preserve">вернер мясокомбинат кто производитель</t>
  </si>
  <si>
    <t xml:space="preserve">производство детской одежды</t>
  </si>
  <si>
    <t xml:space="preserve">изт маркет</t>
  </si>
  <si>
    <t xml:space="preserve">швейное производство одежды</t>
  </si>
  <si>
    <t xml:space="preserve">швейная фабрика швейное производство</t>
  </si>
  <si>
    <t xml:space="preserve">принт на футболке на заказ</t>
  </si>
  <si>
    <t xml:space="preserve">модельер конструктор одежды</t>
  </si>
  <si>
    <t xml:space="preserve">сделать вышивку на одежде</t>
  </si>
  <si>
    <t xml:space="preserve">ул швейная фабрика</t>
  </si>
  <si>
    <t xml:space="preserve">одежда российского производства</t>
  </si>
  <si>
    <t xml:space="preserve">толстовка без капюшона как называется</t>
  </si>
  <si>
    <t xml:space="preserve">штаны галифе</t>
  </si>
  <si>
    <t xml:space="preserve">изготовление мерча</t>
  </si>
  <si>
    <t xml:space="preserve">onsi одежда</t>
  </si>
  <si>
    <t xml:space="preserve">конструктор футболок</t>
  </si>
  <si>
    <t xml:space="preserve">производство одежды технология</t>
  </si>
  <si>
    <t xml:space="preserve">вышивка на одежде москва</t>
  </si>
  <si>
    <t xml:space="preserve">штаны кюлоты</t>
  </si>
  <si>
    <t xml:space="preserve">калькуляция что это</t>
  </si>
  <si>
    <t xml:space="preserve">швейное производство москва</t>
  </si>
  <si>
    <t xml:space="preserve">швейная фабрика магазин</t>
  </si>
  <si>
    <t xml:space="preserve">фуфайка что это</t>
  </si>
  <si>
    <t xml:space="preserve">производство одежды фирмы</t>
  </si>
  <si>
    <t xml:space="preserve">как из джинс сшить юбку</t>
  </si>
  <si>
    <t xml:space="preserve">телефоны швейных фабрик телефоны</t>
  </si>
  <si>
    <t xml:space="preserve">наволочка что это</t>
  </si>
  <si>
    <t xml:space="preserve">куплю производство одежды</t>
  </si>
  <si>
    <t xml:space="preserve">значки стирки на вещах</t>
  </si>
  <si>
    <t xml:space="preserve">nn2sisters одежда</t>
  </si>
  <si>
    <t xml:space="preserve">швейное производство спб</t>
  </si>
  <si>
    <t xml:space="preserve">завод швейного производства</t>
  </si>
  <si>
    <t xml:space="preserve">куртка из пальтовой ткани</t>
  </si>
  <si>
    <t xml:space="preserve">швейная фабрика москва</t>
  </si>
  <si>
    <t xml:space="preserve">кастомная одежда</t>
  </si>
  <si>
    <t xml:space="preserve">tres одежда</t>
  </si>
  <si>
    <t xml:space="preserve">дсп что это за материал</t>
  </si>
  <si>
    <t xml:space="preserve">суконная куртка</t>
  </si>
  <si>
    <t xml:space="preserve">как пошить джинсы</t>
  </si>
  <si>
    <t xml:space="preserve">сделать футболку со своим принтом</t>
  </si>
  <si>
    <t xml:space="preserve">одежда девяностых</t>
  </si>
  <si>
    <t xml:space="preserve">как рассчитать наценку</t>
  </si>
  <si>
    <t xml:space="preserve">подельник это</t>
  </si>
  <si>
    <t xml:space="preserve">пошив бальных платьев</t>
  </si>
  <si>
    <t xml:space="preserve">швейная фабрика автобус</t>
  </si>
  <si>
    <t xml:space="preserve">фа маркет</t>
  </si>
  <si>
    <t xml:space="preserve">промышленное швейное производство</t>
  </si>
  <si>
    <t xml:space="preserve">одинцовская швейная фабрика</t>
  </si>
  <si>
    <t xml:space="preserve">по пошиву одежды кроссворд</t>
  </si>
  <si>
    <t xml:space="preserve">изи маркет</t>
  </si>
  <si>
    <t xml:space="preserve">вышивальная машина для малого бизнеса</t>
  </si>
  <si>
    <t xml:space="preserve">профессии швейного производства</t>
  </si>
  <si>
    <t xml:space="preserve">оператор швейного производства</t>
  </si>
  <si>
    <t xml:space="preserve">производство одежды предприятия</t>
  </si>
  <si>
    <t xml:space="preserve">пошив одежды рядом</t>
  </si>
  <si>
    <t xml:space="preserve">лхдф что это за материал</t>
  </si>
  <si>
    <t xml:space="preserve">собственное производство одежды</t>
  </si>
  <si>
    <t xml:space="preserve">чем отличается фабрика от завода</t>
  </si>
  <si>
    <t xml:space="preserve">мастер по пошиву одежды кроссворд</t>
  </si>
  <si>
    <t xml:space="preserve">производство спортивной одежды</t>
  </si>
  <si>
    <t xml:space="preserve">лонгслив и свитшот отличия</t>
  </si>
  <si>
    <t xml:space="preserve">швейная фабрика костюм</t>
  </si>
  <si>
    <t xml:space="preserve">мастерский одежда пошив</t>
  </si>
  <si>
    <t xml:space="preserve">вид производства одежды</t>
  </si>
  <si>
    <t xml:space="preserve">швейная фабрика гта</t>
  </si>
  <si>
    <t xml:space="preserve">надпись на тетрадь шаблон распечатать</t>
  </si>
  <si>
    <t xml:space="preserve">профессия производства одежды</t>
  </si>
  <si>
    <t xml:space="preserve">производство одежда фабрики</t>
  </si>
  <si>
    <t xml:space="preserve">остановка швейная фабрика</t>
  </si>
  <si>
    <t xml:space="preserve">связанные с производством одежды</t>
  </si>
  <si>
    <t xml:space="preserve">производство рабочей одежды</t>
  </si>
  <si>
    <t xml:space="preserve">адрес одежда пошив</t>
  </si>
  <si>
    <t xml:space="preserve">h m чей бренд</t>
  </si>
  <si>
    <t xml:space="preserve">этикетки для одежды расшифровка</t>
  </si>
  <si>
    <t xml:space="preserve">label b одежда</t>
  </si>
  <si>
    <t xml:space="preserve">мастер швейного производства</t>
  </si>
  <si>
    <t xml:space="preserve">каталоги швейных фабрик</t>
  </si>
  <si>
    <t xml:space="preserve">швейная фабрика онлайн</t>
  </si>
  <si>
    <t xml:space="preserve">материаловедение швейного производства</t>
  </si>
  <si>
    <t xml:space="preserve">производство одежды страны</t>
  </si>
  <si>
    <t xml:space="preserve">швейные фабрики иваново</t>
  </si>
  <si>
    <t xml:space="preserve">швейное производство иваново</t>
  </si>
  <si>
    <t xml:space="preserve">мерки для шитья</t>
  </si>
  <si>
    <t xml:space="preserve">gislaved кто производитель</t>
  </si>
  <si>
    <t xml:space="preserve">net print ru</t>
  </si>
  <si>
    <t xml:space="preserve">dwg что за формат</t>
  </si>
  <si>
    <t xml:space="preserve">станция молочная кто производитель</t>
  </si>
  <si>
    <t xml:space="preserve">mua одежда</t>
  </si>
  <si>
    <t xml:space="preserve">виды юбок и их названия</t>
  </si>
  <si>
    <t xml:space="preserve">номера швейных фабрик</t>
  </si>
  <si>
    <t xml:space="preserve">швейный цех швейного производства</t>
  </si>
  <si>
    <t xml:space="preserve">dcm формат чем открыть</t>
  </si>
  <si>
    <t xml:space="preserve">факторы производства одежды</t>
  </si>
  <si>
    <t xml:space="preserve">швейное предприятие фабрика</t>
  </si>
  <si>
    <t xml:space="preserve">учебник швейному производству</t>
  </si>
  <si>
    <t xml:space="preserve">штаны со штрипками</t>
  </si>
  <si>
    <t xml:space="preserve">директор швейной фабрики</t>
  </si>
  <si>
    <t xml:space="preserve">швейные цеха иваново</t>
  </si>
  <si>
    <t xml:space="preserve">техника производства одежды</t>
  </si>
  <si>
    <t xml:space="preserve">скромное обаяние одежда</t>
  </si>
  <si>
    <t xml:space="preserve">профессии связанные с производством одежды</t>
  </si>
  <si>
    <t xml:space="preserve">швейные предприятия производства</t>
  </si>
  <si>
    <t xml:space="preserve">швейная фабрика 4</t>
  </si>
  <si>
    <t xml:space="preserve">ярославская швейная фабрика</t>
  </si>
  <si>
    <t xml:space="preserve">футболки оптом от производителя</t>
  </si>
  <si>
    <t xml:space="preserve">компания производства одежды</t>
  </si>
  <si>
    <t xml:space="preserve">как одеть погоны на рубашку</t>
  </si>
  <si>
    <t xml:space="preserve">одежда продажа производство</t>
  </si>
  <si>
    <t xml:space="preserve">производство промышленных швейных машин</t>
  </si>
  <si>
    <t xml:space="preserve">вышивка на одежде спб</t>
  </si>
  <si>
    <t xml:space="preserve">производство специальной одежды</t>
  </si>
  <si>
    <t xml:space="preserve">ерд одежда</t>
  </si>
  <si>
    <t xml:space="preserve">frht одежда</t>
  </si>
  <si>
    <t xml:space="preserve">тверская швейная фабрика</t>
  </si>
  <si>
    <t xml:space="preserve">вышивка на одежде компьютером</t>
  </si>
  <si>
    <t xml:space="preserve">одежда производства беларусь</t>
  </si>
  <si>
    <t xml:space="preserve">бордшорты</t>
  </si>
  <si>
    <t xml:space="preserve">швейные фабрики куртки</t>
  </si>
  <si>
    <t xml:space="preserve">продукция швейных фабрик</t>
  </si>
  <si>
    <t xml:space="preserve">литлван оптовые закупки</t>
  </si>
  <si>
    <t xml:space="preserve">крой и шитье gb</t>
  </si>
  <si>
    <t xml:space="preserve">вышивка на одежде схемы</t>
  </si>
  <si>
    <t xml:space="preserve">заводы швейных фабрик</t>
  </si>
  <si>
    <t xml:space="preserve">xsai одежда</t>
  </si>
  <si>
    <t xml:space="preserve">инн швейной фабрики</t>
  </si>
  <si>
    <t xml:space="preserve">производство одежды в россии</t>
  </si>
  <si>
    <t xml:space="preserve">gj одежда</t>
  </si>
  <si>
    <t xml:space="preserve">zny одежда</t>
  </si>
  <si>
    <t xml:space="preserve">процесс швейного производства</t>
  </si>
  <si>
    <t xml:space="preserve">московская швейная фабрика</t>
  </si>
  <si>
    <t xml:space="preserve">lknln одежда</t>
  </si>
  <si>
    <t xml:space="preserve">области швейного производства</t>
  </si>
  <si>
    <t xml:space="preserve">setner одежда</t>
  </si>
  <si>
    <t xml:space="preserve">швейная фабрика саратов</t>
  </si>
  <si>
    <t xml:space="preserve">адидас страна производитель</t>
  </si>
  <si>
    <t xml:space="preserve">конструктор швейного производства</t>
  </si>
  <si>
    <t xml:space="preserve">швейная фабрика пальто</t>
  </si>
  <si>
    <t xml:space="preserve">производства мужская одежда</t>
  </si>
  <si>
    <t xml:space="preserve">производство одежды требования</t>
  </si>
  <si>
    <t xml:space="preserve">дизайнер конструктор одежда</t>
  </si>
  <si>
    <t xml:space="preserve">расписание швейная фабрика</t>
  </si>
  <si>
    <t xml:space="preserve">где находятся швейные фабрики</t>
  </si>
  <si>
    <t xml:space="preserve">швейные фабрики россии</t>
  </si>
  <si>
    <t xml:space="preserve">швейная фабрика нея</t>
  </si>
  <si>
    <t xml:space="preserve">производство одежды москва</t>
  </si>
  <si>
    <t xml:space="preserve">новое производство одежды</t>
  </si>
  <si>
    <t xml:space="preserve">швейный цех одежда</t>
  </si>
  <si>
    <t xml:space="preserve">швейное производство труд</t>
  </si>
  <si>
    <t xml:space="preserve">bnprt одежда</t>
  </si>
  <si>
    <t xml:space="preserve">швейная фабрика архангельск</t>
  </si>
  <si>
    <t xml:space="preserve">пакеты для хранения одежды</t>
  </si>
  <si>
    <t xml:space="preserve">производство одежды ростов</t>
  </si>
  <si>
    <t xml:space="preserve">швейное производство екатеринбург</t>
  </si>
  <si>
    <t xml:space="preserve">швейное производство нижний</t>
  </si>
  <si>
    <t xml:space="preserve">изделия швейной фабрики</t>
  </si>
  <si>
    <t xml:space="preserve">нужны швейные производства</t>
  </si>
  <si>
    <t xml:space="preserve">материал для перчаток или куртки</t>
  </si>
  <si>
    <t xml:space="preserve">вышивки на одежде через компьютер</t>
  </si>
  <si>
    <t xml:space="preserve">как вышивать на швейной машинке</t>
  </si>
  <si>
    <t xml:space="preserve">одежда текстильного производства</t>
  </si>
  <si>
    <t xml:space="preserve">автохелп опт</t>
  </si>
  <si>
    <t xml:space="preserve">задачи швейного производства</t>
  </si>
  <si>
    <t xml:space="preserve">форма швейная фабрика</t>
  </si>
  <si>
    <t xml:space="preserve">конструктор одежды онлайн</t>
  </si>
  <si>
    <t xml:space="preserve">blcv одежда</t>
  </si>
  <si>
    <t xml:space="preserve">фешн фабрик</t>
  </si>
  <si>
    <t xml:space="preserve">конструкторы одежды москва</t>
  </si>
  <si>
    <t xml:space="preserve">брендированный мерч</t>
  </si>
  <si>
    <t xml:space="preserve">ручная вышивка на одежде</t>
  </si>
  <si>
    <t xml:space="preserve">швейные производства россии</t>
  </si>
  <si>
    <t xml:space="preserve">современное производство одежды</t>
  </si>
  <si>
    <t xml:space="preserve">швейные фабрики женской</t>
  </si>
  <si>
    <t xml:space="preserve">расчет швейного производства</t>
  </si>
  <si>
    <t xml:space="preserve">швейная фабрика тверь</t>
  </si>
  <si>
    <t xml:space="preserve">одежда массового производства</t>
  </si>
  <si>
    <t xml:space="preserve">швейное производство новгород</t>
  </si>
  <si>
    <t xml:space="preserve">швейная фабрика 6</t>
  </si>
  <si>
    <t xml:space="preserve">швейный цех 1</t>
  </si>
  <si>
    <t xml:space="preserve">одежда для пищевого производства</t>
  </si>
  <si>
    <t xml:space="preserve">швейное производство таблица</t>
  </si>
  <si>
    <t xml:space="preserve">бывший швейный цех</t>
  </si>
  <si>
    <t xml:space="preserve">рабочие швейной фабрики</t>
  </si>
  <si>
    <t xml:space="preserve">можно швейная фабрика</t>
  </si>
  <si>
    <t xml:space="preserve">мужская швейная фабрика</t>
  </si>
  <si>
    <t xml:space="preserve">про швейную фабрику</t>
  </si>
  <si>
    <t xml:space="preserve">производство швейных столов</t>
  </si>
  <si>
    <t xml:space="preserve">кукморская швейная фабрика</t>
  </si>
  <si>
    <t xml:space="preserve">вышивка на дырках одежды</t>
  </si>
  <si>
    <t xml:space="preserve">8 швейная фабрика</t>
  </si>
  <si>
    <t xml:space="preserve">отрасли швейного производства</t>
  </si>
  <si>
    <t xml:space="preserve">швейной фабрике цеха</t>
  </si>
  <si>
    <t xml:space="preserve">швейное производство нижний новгород</t>
  </si>
  <si>
    <t xml:space="preserve">продажа швейной фабрики</t>
  </si>
  <si>
    <t xml:space="preserve">производство тканей для одежды</t>
  </si>
  <si>
    <t xml:space="preserve">текстильные швейные производства</t>
  </si>
  <si>
    <t xml:space="preserve">производство одежды промышленность</t>
  </si>
  <si>
    <t xml:space="preserve">вышивка на детской одежде</t>
  </si>
  <si>
    <t xml:space="preserve">данные швейной фабрики</t>
  </si>
  <si>
    <t xml:space="preserve">производство домашней одежды</t>
  </si>
  <si>
    <t xml:space="preserve">одежда производство петербург</t>
  </si>
  <si>
    <t xml:space="preserve">швейное производство продукция</t>
  </si>
  <si>
    <t xml:space="preserve">шорты брючного кроя</t>
  </si>
  <si>
    <t xml:space="preserve">полуфабрикат шитья</t>
  </si>
  <si>
    <t xml:space="preserve">miss38 одежда</t>
  </si>
  <si>
    <t xml:space="preserve">абинская швейная фабрика</t>
  </si>
  <si>
    <t xml:space="preserve">борисоглебская швейная фабрика</t>
  </si>
  <si>
    <t xml:space="preserve">одежда сотрудникам производства</t>
  </si>
  <si>
    <t xml:space="preserve">швейная фабрика шьет</t>
  </si>
  <si>
    <t xml:space="preserve">шило швейная фабрика</t>
  </si>
  <si>
    <t xml:space="preserve">рынок производства одежды</t>
  </si>
  <si>
    <t xml:space="preserve">материалы для производства одежды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</si>
</sst>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51C32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51C32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CB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651C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BB8"/>
      <rgbColor rgb="FF808080"/>
      <rgbColor rgb="FF9999FF"/>
      <rgbColor rgb="FF993366"/>
      <rgbColor rgb="FFFFFFCC"/>
      <rgbColor rgb="FFCCFFFF"/>
      <rgbColor rgb="FF651C32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9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COUNTA('Семантическое ядро'!B2:B840)</f>
        <v>839</v>
      </c>
      <c r="C5" s="4" t="s">
        <v>6</v>
      </c>
    </row>
    <row r="6" customFormat="false" ht="23.85" hidden="false" customHeight="false" outlineLevel="0" collapsed="false">
      <c r="A6" s="4" t="s">
        <v>7</v>
      </c>
      <c r="B6" s="5" t="n">
        <f aca="false">COUNTIF('Семантическое ядро'!F2:F840,"базовая")</f>
        <v>155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f aca="false">COUNTIF('Семантическое ядро'!F2:F840,"Вордстат*")</f>
        <v>684</v>
      </c>
      <c r="C7" s="4" t="s">
        <v>10</v>
      </c>
    </row>
    <row r="8" customFormat="false" ht="15" hidden="false" customHeight="false" outlineLevel="0" collapsed="false">
      <c r="A8" s="4" t="s">
        <v>11</v>
      </c>
      <c r="B8" s="5" t="n">
        <f aca="false">COUNT('Семантическое ядро'!J2:J840)</f>
        <v>182</v>
      </c>
      <c r="C8" s="4" t="s">
        <v>12</v>
      </c>
    </row>
    <row r="9" customFormat="false" ht="23.85" hidden="false" customHeight="false" outlineLevel="0" collapsed="false">
      <c r="A9" s="4" t="s">
        <v>13</v>
      </c>
      <c r="B9" s="5" t="n">
        <f aca="false">COUNTIF('Семантическое ядро'!M2:M840,"A")</f>
        <v>17</v>
      </c>
      <c r="C9" s="4" t="s">
        <v>14</v>
      </c>
    </row>
    <row r="10" customFormat="false" ht="15" hidden="false" customHeight="false" outlineLevel="0" collapsed="false">
      <c r="A10" s="4" t="s">
        <v>15</v>
      </c>
      <c r="B10" s="5" t="n">
        <f aca="false">SUM('Семантическое ядро'!J2:J840)</f>
        <v>965</v>
      </c>
      <c r="C10" s="4" t="s">
        <v>16</v>
      </c>
    </row>
    <row r="11" customFormat="false" ht="15" hidden="false" customHeight="false" outlineLevel="0" collapsed="false">
      <c r="A11" s="4" t="s">
        <v>17</v>
      </c>
      <c r="B11" s="5" t="n">
        <f aca="false">COUNTA('Отсеяно минус-словами'!A2:A401)</f>
        <v>400</v>
      </c>
      <c r="C11" s="4" t="s">
        <v>18</v>
      </c>
    </row>
    <row r="13" customFormat="false" ht="15" hidden="false" customHeight="false" outlineLevel="0" collapsed="false">
      <c r="A13" s="6" t="s">
        <v>19</v>
      </c>
    </row>
    <row r="14" customFormat="false" ht="23.85" hidden="false" customHeight="false" outlineLevel="0" collapsed="false">
      <c r="A14" s="7" t="s">
        <v>20</v>
      </c>
      <c r="C14" s="7" t="s">
        <v>21</v>
      </c>
    </row>
    <row r="15" customFormat="false" ht="15" hidden="false" customHeight="false" outlineLevel="0" collapsed="false">
      <c r="A15" s="7" t="s">
        <v>22</v>
      </c>
      <c r="C15" s="7" t="s">
        <v>23</v>
      </c>
    </row>
    <row r="16" customFormat="false" ht="15" hidden="false" customHeight="false" outlineLevel="0" collapsed="false">
      <c r="A16" s="7" t="s">
        <v>24</v>
      </c>
      <c r="C16" s="7" t="s">
        <v>25</v>
      </c>
    </row>
    <row r="17" customFormat="false" ht="15" hidden="false" customHeight="false" outlineLevel="0" collapsed="false">
      <c r="A17" s="7" t="s">
        <v>26</v>
      </c>
      <c r="C17" s="7" t="s">
        <v>27</v>
      </c>
    </row>
    <row r="18" customFormat="false" ht="15" hidden="false" customHeight="false" outlineLevel="0" collapsed="false">
      <c r="A18" s="7" t="s">
        <v>28</v>
      </c>
      <c r="C18" s="7" t="s">
        <v>29</v>
      </c>
    </row>
    <row r="19" customFormat="false" ht="15" hidden="false" customHeight="false" outlineLevel="0" collapsed="false">
      <c r="A19" s="7" t="s">
        <v>30</v>
      </c>
      <c r="C19" s="7" t="s">
        <v>31</v>
      </c>
    </row>
    <row r="20" customFormat="false" ht="15" hidden="false" customHeight="false" outlineLevel="0" collapsed="false">
      <c r="A20" s="7" t="s">
        <v>32</v>
      </c>
      <c r="C20" s="7" t="s">
        <v>33</v>
      </c>
    </row>
    <row r="22" customFormat="false" ht="15" hidden="false" customHeight="false" outlineLevel="0" collapsed="false">
      <c r="A22" s="6" t="s">
        <v>34</v>
      </c>
    </row>
    <row r="23" customFormat="false" ht="15" hidden="false" customHeight="false" outlineLevel="0" collapsed="false">
      <c r="A23" s="7" t="s">
        <v>35</v>
      </c>
      <c r="C23" s="7" t="s">
        <v>36</v>
      </c>
    </row>
    <row r="24" customFormat="false" ht="15" hidden="false" customHeight="false" outlineLevel="0" collapsed="false">
      <c r="A24" s="7" t="s">
        <v>37</v>
      </c>
      <c r="C24" s="7" t="s">
        <v>38</v>
      </c>
    </row>
    <row r="25" customFormat="false" ht="23.85" hidden="false" customHeight="false" outlineLevel="0" collapsed="false">
      <c r="A25" s="7" t="s">
        <v>39</v>
      </c>
      <c r="C25" s="7" t="s">
        <v>40</v>
      </c>
    </row>
    <row r="26" customFormat="false" ht="23.85" hidden="false" customHeight="false" outlineLevel="0" collapsed="false">
      <c r="A26" s="7" t="s">
        <v>41</v>
      </c>
      <c r="C26" s="7" t="s">
        <v>42</v>
      </c>
    </row>
    <row r="28" customFormat="false" ht="15" hidden="false" customHeight="false" outlineLevel="0" collapsed="false">
      <c r="A28" s="6" t="s">
        <v>43</v>
      </c>
    </row>
    <row r="29" customFormat="false" ht="15" hidden="false" customHeight="false" outlineLevel="0" collapsed="false">
      <c r="A29" s="7" t="s">
        <v>44</v>
      </c>
      <c r="C29" s="7" t="s">
        <v>45</v>
      </c>
    </row>
    <row r="30" customFormat="false" ht="15" hidden="false" customHeight="false" outlineLevel="0" collapsed="false">
      <c r="A30" s="7" t="s">
        <v>46</v>
      </c>
      <c r="C30" s="7" t="s">
        <v>47</v>
      </c>
    </row>
    <row r="31" customFormat="false" ht="15" hidden="false" customHeight="false" outlineLevel="0" collapsed="false">
      <c r="A31" s="7" t="s">
        <v>48</v>
      </c>
      <c r="C31" s="7" t="s">
        <v>49</v>
      </c>
    </row>
    <row r="32" customFormat="false" ht="15" hidden="false" customHeight="false" outlineLevel="0" collapsed="false">
      <c r="A32" s="7" t="s">
        <v>50</v>
      </c>
      <c r="C32" s="7" t="s">
        <v>51</v>
      </c>
    </row>
    <row r="34" customFormat="false" ht="15" hidden="false" customHeight="false" outlineLevel="0" collapsed="false">
      <c r="A34" s="6" t="s">
        <v>52</v>
      </c>
    </row>
    <row r="35" customFormat="false" ht="15" hidden="false" customHeight="false" outlineLevel="0" collapsed="false">
      <c r="A35" s="7" t="s">
        <v>53</v>
      </c>
      <c r="C35" s="7" t="s">
        <v>54</v>
      </c>
    </row>
    <row r="36" customFormat="false" ht="15" hidden="false" customHeight="false" outlineLevel="0" collapsed="false">
      <c r="A36" s="7" t="s">
        <v>55</v>
      </c>
      <c r="C36" s="7" t="s">
        <v>56</v>
      </c>
    </row>
    <row r="37" customFormat="false" ht="15" hidden="false" customHeight="false" outlineLevel="0" collapsed="false">
      <c r="A37" s="7" t="s">
        <v>57</v>
      </c>
      <c r="C37" s="7" t="s">
        <v>58</v>
      </c>
    </row>
    <row r="38" customFormat="false" ht="15" hidden="false" customHeight="false" outlineLevel="0" collapsed="false">
      <c r="A38" s="7" t="s">
        <v>59</v>
      </c>
      <c r="C38" s="7" t="s">
        <v>60</v>
      </c>
    </row>
    <row r="39" customFormat="false" ht="15" hidden="false" customHeight="false" outlineLevel="0" collapsed="false">
      <c r="A39" s="7" t="s">
        <v>61</v>
      </c>
      <c r="C39" s="7" t="s">
        <v>62</v>
      </c>
    </row>
    <row r="40" customFormat="false" ht="15" hidden="false" customHeight="false" outlineLevel="0" collapsed="false">
      <c r="A40" s="7" t="s">
        <v>63</v>
      </c>
      <c r="C40" s="7" t="s">
        <v>64</v>
      </c>
    </row>
    <row r="41" customFormat="false" ht="15" hidden="false" customHeight="false" outlineLevel="0" collapsed="false">
      <c r="A41" s="7" t="s">
        <v>65</v>
      </c>
      <c r="C41" s="7" t="s">
        <v>66</v>
      </c>
    </row>
    <row r="42" customFormat="false" ht="15" hidden="false" customHeight="false" outlineLevel="0" collapsed="false">
      <c r="A42" s="7" t="s">
        <v>67</v>
      </c>
      <c r="C42" s="7" t="s">
        <v>68</v>
      </c>
    </row>
    <row r="43" customFormat="false" ht="15" hidden="false" customHeight="false" outlineLevel="0" collapsed="false">
      <c r="A43" s="7" t="s">
        <v>69</v>
      </c>
      <c r="C43" s="7" t="s">
        <v>70</v>
      </c>
    </row>
    <row r="44" customFormat="false" ht="15" hidden="false" customHeight="false" outlineLevel="0" collapsed="false">
      <c r="A44" s="7" t="s">
        <v>71</v>
      </c>
      <c r="C44" s="7" t="s">
        <v>72</v>
      </c>
    </row>
    <row r="46" customFormat="false" ht="15" hidden="false" customHeight="false" outlineLevel="0" collapsed="false">
      <c r="A46" s="8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4" min="3" style="0" width="34"/>
    <col collapsed="false" customWidth="true" hidden="false" outlineLevel="0" max="5" min="5" style="0" width="15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46"/>
    <col collapsed="false" customWidth="true" hidden="false" outlineLevel="0" max="15" min="15" style="0" width="60"/>
  </cols>
  <sheetData>
    <row r="1" customFormat="false" ht="31.5" hidden="false" customHeight="true" outlineLevel="0" collapsed="false">
      <c r="A1" s="9" t="s">
        <v>74</v>
      </c>
      <c r="B1" s="9" t="s">
        <v>75</v>
      </c>
      <c r="C1" s="9" t="s">
        <v>76</v>
      </c>
      <c r="D1" s="9" t="s">
        <v>77</v>
      </c>
      <c r="E1" s="9" t="s">
        <v>78</v>
      </c>
      <c r="F1" s="9" t="s">
        <v>79</v>
      </c>
      <c r="G1" s="9" t="s">
        <v>80</v>
      </c>
      <c r="H1" s="9" t="s">
        <v>81</v>
      </c>
      <c r="I1" s="9" t="s">
        <v>82</v>
      </c>
      <c r="J1" s="9" t="s">
        <v>83</v>
      </c>
      <c r="K1" s="9" t="s">
        <v>84</v>
      </c>
      <c r="L1" s="9" t="s">
        <v>85</v>
      </c>
      <c r="M1" s="9" t="s">
        <v>86</v>
      </c>
      <c r="N1" s="9" t="s">
        <v>87</v>
      </c>
      <c r="O1" s="9" t="s">
        <v>88</v>
      </c>
    </row>
    <row r="2" customFormat="false" ht="15" hidden="false" customHeight="false" outlineLevel="0" collapsed="false">
      <c r="A2" s="10" t="n">
        <v>1</v>
      </c>
      <c r="B2" s="10" t="s">
        <v>89</v>
      </c>
      <c r="C2" s="10" t="s">
        <v>90</v>
      </c>
      <c r="D2" s="10" t="s">
        <v>91</v>
      </c>
      <c r="E2" s="10" t="s">
        <v>92</v>
      </c>
      <c r="F2" s="10" t="s">
        <v>93</v>
      </c>
      <c r="G2" s="11" t="n">
        <v>403</v>
      </c>
      <c r="H2" s="11" t="n">
        <v>10</v>
      </c>
      <c r="I2" s="11" t="n">
        <v>0</v>
      </c>
      <c r="J2" s="11" t="n">
        <v>0</v>
      </c>
      <c r="K2" s="10" t="str">
        <f aca="false">IF(ISNUMBER(J2),IF(J2&lt;10,"ультра-НЧ",IF(J2&lt;100,"НЧ",IF(J2&lt;=1000,"СЧ","ВЧ"))),IF(ISNUMBER(I2),IF(I2&lt;10,"ультра-НЧ",IF(I2&lt;100,"НЧ",IF(I2&lt;=1000,"СЧ","ВЧ"))),"нет данных"))</f>
        <v>ультра-НЧ</v>
      </c>
      <c r="L2" s="12" t="n">
        <f aca="false">IF(AND(ISNUMBER(G2),G2&gt;0,ISNUMBER(I2)),I2/G2,"")</f>
        <v>0</v>
      </c>
      <c r="M2" s="10" t="s">
        <v>94</v>
      </c>
      <c r="N2" s="10" t="s">
        <v>95</v>
      </c>
      <c r="O2" s="10"/>
    </row>
    <row r="3" customFormat="false" ht="15" hidden="false" customHeight="false" outlineLevel="0" collapsed="false">
      <c r="A3" s="10" t="n">
        <v>2</v>
      </c>
      <c r="B3" s="10" t="s">
        <v>96</v>
      </c>
      <c r="C3" s="10" t="s">
        <v>90</v>
      </c>
      <c r="D3" s="10" t="s">
        <v>91</v>
      </c>
      <c r="E3" s="10" t="s">
        <v>92</v>
      </c>
      <c r="F3" s="10" t="s">
        <v>93</v>
      </c>
      <c r="G3" s="11" t="n">
        <v>102</v>
      </c>
      <c r="H3" s="11" t="n">
        <v>1</v>
      </c>
      <c r="I3" s="11" t="n">
        <v>0</v>
      </c>
      <c r="J3" s="11" t="n">
        <v>0</v>
      </c>
      <c r="K3" s="10" t="str">
        <f aca="false">IF(ISNUMBER(J3),IF(J3&lt;10,"ультра-НЧ",IF(J3&lt;100,"НЧ",IF(J3&lt;=1000,"СЧ","ВЧ"))),IF(ISNUMBER(I3),IF(I3&lt;10,"ультра-НЧ",IF(I3&lt;100,"НЧ",IF(I3&lt;=1000,"СЧ","ВЧ"))),"нет данных"))</f>
        <v>ультра-НЧ</v>
      </c>
      <c r="L3" s="12" t="n">
        <f aca="false">IF(AND(ISNUMBER(G3),G3&gt;0,ISNUMBER(I3)),I3/G3,"")</f>
        <v>0</v>
      </c>
      <c r="M3" s="10" t="s">
        <v>94</v>
      </c>
      <c r="N3" s="10" t="s">
        <v>97</v>
      </c>
      <c r="O3" s="10"/>
    </row>
    <row r="4" customFormat="false" ht="15" hidden="false" customHeight="false" outlineLevel="0" collapsed="false">
      <c r="A4" s="10" t="n">
        <v>3</v>
      </c>
      <c r="B4" s="10" t="s">
        <v>98</v>
      </c>
      <c r="C4" s="10" t="s">
        <v>90</v>
      </c>
      <c r="D4" s="10" t="s">
        <v>91</v>
      </c>
      <c r="E4" s="10" t="s">
        <v>92</v>
      </c>
      <c r="F4" s="10" t="s">
        <v>93</v>
      </c>
      <c r="G4" s="11" t="n">
        <v>72</v>
      </c>
      <c r="H4" s="11" t="n">
        <v>7</v>
      </c>
      <c r="I4" s="11" t="n">
        <v>0</v>
      </c>
      <c r="J4" s="11" t="n">
        <v>0</v>
      </c>
      <c r="K4" s="10" t="str">
        <f aca="false">IF(ISNUMBER(J4),IF(J4&lt;10,"ультра-НЧ",IF(J4&lt;100,"НЧ",IF(J4&lt;=1000,"СЧ","ВЧ"))),IF(ISNUMBER(I4),IF(I4&lt;10,"ультра-НЧ",IF(I4&lt;100,"НЧ",IF(I4&lt;=1000,"СЧ","ВЧ"))),"нет данных"))</f>
        <v>ультра-НЧ</v>
      </c>
      <c r="L4" s="12" t="n">
        <f aca="false">IF(AND(ISNUMBER(G4),G4&gt;0,ISNUMBER(I4)),I4/G4,"")</f>
        <v>0</v>
      </c>
      <c r="M4" s="10" t="s">
        <v>94</v>
      </c>
      <c r="N4" s="10" t="s">
        <v>98</v>
      </c>
      <c r="O4" s="10"/>
    </row>
    <row r="5" customFormat="false" ht="15" hidden="false" customHeight="false" outlineLevel="0" collapsed="false">
      <c r="A5" s="10" t="n">
        <v>4</v>
      </c>
      <c r="B5" s="10" t="s">
        <v>99</v>
      </c>
      <c r="C5" s="10" t="s">
        <v>90</v>
      </c>
      <c r="D5" s="10" t="s">
        <v>91</v>
      </c>
      <c r="E5" s="10" t="s">
        <v>92</v>
      </c>
      <c r="F5" s="10" t="s">
        <v>93</v>
      </c>
      <c r="G5" s="11" t="n">
        <v>22</v>
      </c>
      <c r="H5" s="11" t="n">
        <v>1</v>
      </c>
      <c r="I5" s="11" t="n">
        <v>0</v>
      </c>
      <c r="J5" s="11" t="n">
        <v>0</v>
      </c>
      <c r="K5" s="10" t="str">
        <f aca="false">IF(ISNUMBER(J5),IF(J5&lt;10,"ультра-НЧ",IF(J5&lt;100,"НЧ",IF(J5&lt;=1000,"СЧ","ВЧ"))),IF(ISNUMBER(I5),IF(I5&lt;10,"ультра-НЧ",IF(I5&lt;100,"НЧ",IF(I5&lt;=1000,"СЧ","ВЧ"))),"нет данных"))</f>
        <v>ультра-НЧ</v>
      </c>
      <c r="L5" s="12" t="n">
        <f aca="false">IF(AND(ISNUMBER(G5),G5&gt;0,ISNUMBER(I5)),I5/G5,"")</f>
        <v>0</v>
      </c>
      <c r="M5" s="10" t="s">
        <v>94</v>
      </c>
      <c r="N5" s="10" t="s">
        <v>99</v>
      </c>
      <c r="O5" s="10"/>
    </row>
    <row r="6" customFormat="false" ht="15" hidden="false" customHeight="false" outlineLevel="0" collapsed="false">
      <c r="A6" s="10" t="n">
        <v>5</v>
      </c>
      <c r="B6" s="10" t="s">
        <v>100</v>
      </c>
      <c r="C6" s="10" t="s">
        <v>90</v>
      </c>
      <c r="D6" s="10" t="s">
        <v>91</v>
      </c>
      <c r="E6" s="10" t="s">
        <v>92</v>
      </c>
      <c r="F6" s="10" t="s">
        <v>93</v>
      </c>
      <c r="G6" s="11" t="n">
        <v>21</v>
      </c>
      <c r="H6" s="11" t="n">
        <v>2</v>
      </c>
      <c r="I6" s="11" t="n">
        <v>0</v>
      </c>
      <c r="J6" s="11" t="n">
        <v>0</v>
      </c>
      <c r="K6" s="10" t="str">
        <f aca="false">IF(ISNUMBER(J6),IF(J6&lt;10,"ультра-НЧ",IF(J6&lt;100,"НЧ",IF(J6&lt;=1000,"СЧ","ВЧ"))),IF(ISNUMBER(I6),IF(I6&lt;10,"ультра-НЧ",IF(I6&lt;100,"НЧ",IF(I6&lt;=1000,"СЧ","ВЧ"))),"нет данных"))</f>
        <v>ультра-НЧ</v>
      </c>
      <c r="L6" s="12" t="n">
        <f aca="false">IF(AND(ISNUMBER(G6),G6&gt;0,ISNUMBER(I6)),I6/G6,"")</f>
        <v>0</v>
      </c>
      <c r="M6" s="10" t="s">
        <v>94</v>
      </c>
      <c r="N6" s="10" t="s">
        <v>101</v>
      </c>
      <c r="O6" s="10"/>
    </row>
    <row r="7" customFormat="false" ht="15" hidden="false" customHeight="false" outlineLevel="0" collapsed="false">
      <c r="A7" s="10" t="n">
        <v>6</v>
      </c>
      <c r="B7" s="10" t="s">
        <v>102</v>
      </c>
      <c r="C7" s="10" t="s">
        <v>90</v>
      </c>
      <c r="D7" s="10" t="s">
        <v>91</v>
      </c>
      <c r="E7" s="10" t="s">
        <v>92</v>
      </c>
      <c r="F7" s="10" t="s">
        <v>93</v>
      </c>
      <c r="G7" s="11" t="n">
        <v>118</v>
      </c>
      <c r="H7" s="11" t="n">
        <v>19</v>
      </c>
      <c r="I7" s="11" t="n">
        <v>90</v>
      </c>
      <c r="J7" s="11" t="n">
        <v>18</v>
      </c>
      <c r="K7" s="10" t="str">
        <f aca="false">IF(ISNUMBER(J7),IF(J7&lt;10,"ультра-НЧ",IF(J7&lt;100,"НЧ",IF(J7&lt;=1000,"СЧ","ВЧ"))),IF(ISNUMBER(I7),IF(I7&lt;10,"ультра-НЧ",IF(I7&lt;100,"НЧ",IF(I7&lt;=1000,"СЧ","ВЧ"))),"нет данных"))</f>
        <v>НЧ</v>
      </c>
      <c r="L7" s="12" t="n">
        <f aca="false">IF(AND(ISNUMBER(G7),G7&gt;0,ISNUMBER(I7)),I7/G7,"")</f>
        <v>0.76271186440678</v>
      </c>
      <c r="M7" s="10" t="s">
        <v>103</v>
      </c>
      <c r="N7" s="10" t="s">
        <v>102</v>
      </c>
      <c r="O7" s="10"/>
    </row>
    <row r="8" customFormat="false" ht="15" hidden="false" customHeight="false" outlineLevel="0" collapsed="false">
      <c r="A8" s="10" t="n">
        <v>7</v>
      </c>
      <c r="B8" s="10" t="s">
        <v>104</v>
      </c>
      <c r="C8" s="10" t="s">
        <v>90</v>
      </c>
      <c r="D8" s="10" t="s">
        <v>91</v>
      </c>
      <c r="E8" s="10" t="s">
        <v>92</v>
      </c>
      <c r="F8" s="10" t="s">
        <v>93</v>
      </c>
      <c r="G8" s="11" t="n">
        <v>14</v>
      </c>
      <c r="H8" s="11" t="n">
        <v>0</v>
      </c>
      <c r="I8" s="11" t="n">
        <v>0</v>
      </c>
      <c r="J8" s="11" t="n">
        <v>0</v>
      </c>
      <c r="K8" s="10" t="str">
        <f aca="false">IF(ISNUMBER(J8),IF(J8&lt;10,"ультра-НЧ",IF(J8&lt;100,"НЧ",IF(J8&lt;=1000,"СЧ","ВЧ"))),IF(ISNUMBER(I8),IF(I8&lt;10,"ультра-НЧ",IF(I8&lt;100,"НЧ",IF(I8&lt;=1000,"СЧ","ВЧ"))),"нет данных"))</f>
        <v>ультра-НЧ</v>
      </c>
      <c r="L8" s="12" t="n">
        <f aca="false">IF(AND(ISNUMBER(G8),G8&gt;0,ISNUMBER(I8)),I8/G8,"")</f>
        <v>0</v>
      </c>
      <c r="M8" s="10" t="s">
        <v>105</v>
      </c>
      <c r="N8" s="10" t="s">
        <v>106</v>
      </c>
      <c r="O8" s="10" t="s">
        <v>107</v>
      </c>
    </row>
    <row r="9" customFormat="false" ht="15" hidden="false" customHeight="false" outlineLevel="0" collapsed="false">
      <c r="A9" s="10" t="n">
        <v>8</v>
      </c>
      <c r="B9" s="10" t="s">
        <v>108</v>
      </c>
      <c r="C9" s="10" t="s">
        <v>90</v>
      </c>
      <c r="D9" s="10" t="s">
        <v>91</v>
      </c>
      <c r="E9" s="10" t="s">
        <v>92</v>
      </c>
      <c r="F9" s="10" t="s">
        <v>93</v>
      </c>
      <c r="G9" s="11"/>
      <c r="H9" s="11" t="n">
        <v>12</v>
      </c>
      <c r="I9" s="11" t="n">
        <v>46</v>
      </c>
      <c r="J9" s="11" t="n">
        <v>11</v>
      </c>
      <c r="K9" s="10" t="str">
        <f aca="false">IF(ISNUMBER(J9),IF(J9&lt;10,"ультра-НЧ",IF(J9&lt;100,"НЧ",IF(J9&lt;=1000,"СЧ","ВЧ"))),IF(ISNUMBER(I9),IF(I9&lt;10,"ультра-НЧ",IF(I9&lt;100,"НЧ",IF(I9&lt;=1000,"СЧ","ВЧ"))),"нет данных"))</f>
        <v>НЧ</v>
      </c>
      <c r="L9" s="12" t="str">
        <f aca="false">IF(AND(ISNUMBER(G9),G9&gt;0,ISNUMBER(I9)),I9/G9,"")</f>
        <v/>
      </c>
      <c r="M9" s="10" t="s">
        <v>103</v>
      </c>
      <c r="N9" s="10" t="s">
        <v>108</v>
      </c>
      <c r="O9" s="10"/>
    </row>
    <row r="10" customFormat="false" ht="15" hidden="false" customHeight="false" outlineLevel="0" collapsed="false">
      <c r="A10" s="10" t="n">
        <v>9</v>
      </c>
      <c r="B10" s="10" t="s">
        <v>109</v>
      </c>
      <c r="C10" s="10" t="s">
        <v>90</v>
      </c>
      <c r="D10" s="10" t="s">
        <v>91</v>
      </c>
      <c r="E10" s="10" t="s">
        <v>92</v>
      </c>
      <c r="F10" s="10" t="s">
        <v>93</v>
      </c>
      <c r="G10" s="11" t="n">
        <v>151</v>
      </c>
      <c r="H10" s="11" t="n">
        <v>13</v>
      </c>
      <c r="I10" s="11" t="n">
        <v>111</v>
      </c>
      <c r="J10" s="11" t="n">
        <v>11</v>
      </c>
      <c r="K10" s="10" t="str">
        <f aca="false">IF(ISNUMBER(J10),IF(J10&lt;10,"ультра-НЧ",IF(J10&lt;100,"НЧ",IF(J10&lt;=1000,"СЧ","ВЧ"))),IF(ISNUMBER(I10),IF(I10&lt;10,"ультра-НЧ",IF(I10&lt;100,"НЧ",IF(I10&lt;=1000,"СЧ","ВЧ"))),"нет данных"))</f>
        <v>НЧ</v>
      </c>
      <c r="L10" s="12" t="n">
        <f aca="false">IF(AND(ISNUMBER(G10),G10&gt;0,ISNUMBER(I10)),I10/G10,"")</f>
        <v>0.735099337748344</v>
      </c>
      <c r="M10" s="10" t="s">
        <v>105</v>
      </c>
      <c r="N10" s="10" t="s">
        <v>109</v>
      </c>
      <c r="O10" s="10" t="s">
        <v>107</v>
      </c>
    </row>
    <row r="11" customFormat="false" ht="15" hidden="false" customHeight="false" outlineLevel="0" collapsed="false">
      <c r="A11" s="10" t="n">
        <v>10</v>
      </c>
      <c r="B11" s="10" t="s">
        <v>110</v>
      </c>
      <c r="C11" s="10" t="s">
        <v>90</v>
      </c>
      <c r="D11" s="10" t="s">
        <v>91</v>
      </c>
      <c r="E11" s="10" t="s">
        <v>92</v>
      </c>
      <c r="F11" s="10" t="s">
        <v>93</v>
      </c>
      <c r="G11" s="11" t="n">
        <v>51</v>
      </c>
      <c r="H11" s="11" t="n">
        <v>20</v>
      </c>
      <c r="I11" s="11" t="n">
        <v>28</v>
      </c>
      <c r="J11" s="11" t="n">
        <v>10</v>
      </c>
      <c r="K11" s="10" t="str">
        <f aca="false">IF(ISNUMBER(J11),IF(J11&lt;10,"ультра-НЧ",IF(J11&lt;100,"НЧ",IF(J11&lt;=1000,"СЧ","ВЧ"))),IF(ISNUMBER(I11),IF(I11&lt;10,"ультра-НЧ",IF(I11&lt;100,"НЧ",IF(I11&lt;=1000,"СЧ","ВЧ"))),"нет данных"))</f>
        <v>НЧ</v>
      </c>
      <c r="L11" s="12" t="n">
        <f aca="false">IF(AND(ISNUMBER(G11),G11&gt;0,ISNUMBER(I11)),I11/G11,"")</f>
        <v>0.549019607843137</v>
      </c>
      <c r="M11" s="10" t="s">
        <v>103</v>
      </c>
      <c r="N11" s="10" t="s">
        <v>110</v>
      </c>
      <c r="O11" s="10"/>
    </row>
    <row r="12" customFormat="false" ht="15" hidden="false" customHeight="false" outlineLevel="0" collapsed="false">
      <c r="A12" s="10" t="n">
        <v>11</v>
      </c>
      <c r="B12" s="10" t="s">
        <v>111</v>
      </c>
      <c r="C12" s="10" t="s">
        <v>90</v>
      </c>
      <c r="D12" s="10" t="s">
        <v>91</v>
      </c>
      <c r="E12" s="10" t="s">
        <v>92</v>
      </c>
      <c r="F12" s="10" t="s">
        <v>93</v>
      </c>
      <c r="G12" s="11" t="n">
        <v>14165</v>
      </c>
      <c r="H12" s="11" t="n">
        <v>267</v>
      </c>
      <c r="I12" s="11" t="n">
        <v>263</v>
      </c>
      <c r="J12" s="11" t="n">
        <v>8</v>
      </c>
      <c r="K12" s="10" t="str">
        <f aca="false">IF(ISNUMBER(J12),IF(J12&lt;10,"ультра-НЧ",IF(J12&lt;100,"НЧ",IF(J12&lt;=1000,"СЧ","ВЧ"))),IF(ISNUMBER(I12),IF(I12&lt;10,"ультра-НЧ",IF(I12&lt;100,"НЧ",IF(I12&lt;=1000,"СЧ","ВЧ"))),"нет данных"))</f>
        <v>ультра-НЧ</v>
      </c>
      <c r="L12" s="12" t="n">
        <f aca="false">IF(AND(ISNUMBER(G12),G12&gt;0,ISNUMBER(I12)),I12/G12,"")</f>
        <v>0.0185668902223791</v>
      </c>
      <c r="M12" s="10" t="s">
        <v>112</v>
      </c>
      <c r="N12" s="10" t="s">
        <v>111</v>
      </c>
      <c r="O12" s="10"/>
    </row>
    <row r="13" customFormat="false" ht="15" hidden="false" customHeight="false" outlineLevel="0" collapsed="false">
      <c r="A13" s="10" t="n">
        <v>12</v>
      </c>
      <c r="B13" s="10" t="s">
        <v>113</v>
      </c>
      <c r="C13" s="10" t="s">
        <v>90</v>
      </c>
      <c r="D13" s="10" t="s">
        <v>91</v>
      </c>
      <c r="E13" s="10" t="s">
        <v>92</v>
      </c>
      <c r="F13" s="10" t="s">
        <v>93</v>
      </c>
      <c r="G13" s="11" t="n">
        <v>52350</v>
      </c>
      <c r="H13" s="11" t="n">
        <v>430</v>
      </c>
      <c r="I13" s="11" t="n">
        <v>1469</v>
      </c>
      <c r="J13" s="11" t="n">
        <v>8</v>
      </c>
      <c r="K13" s="10" t="str">
        <f aca="false">IF(ISNUMBER(J13),IF(J13&lt;10,"ультра-НЧ",IF(J13&lt;100,"НЧ",IF(J13&lt;=1000,"СЧ","ВЧ"))),IF(ISNUMBER(I13),IF(I13&lt;10,"ультра-НЧ",IF(I13&lt;100,"НЧ",IF(I13&lt;=1000,"СЧ","ВЧ"))),"нет данных"))</f>
        <v>ультра-НЧ</v>
      </c>
      <c r="L13" s="12" t="n">
        <f aca="false">IF(AND(ISNUMBER(G13),G13&gt;0,ISNUMBER(I13)),I13/G13,"")</f>
        <v>0.0280611270296084</v>
      </c>
      <c r="M13" s="10" t="s">
        <v>103</v>
      </c>
      <c r="N13" s="10" t="s">
        <v>113</v>
      </c>
      <c r="O13" s="10"/>
    </row>
    <row r="14" customFormat="false" ht="15" hidden="false" customHeight="false" outlineLevel="0" collapsed="false">
      <c r="A14" s="10" t="n">
        <v>13</v>
      </c>
      <c r="B14" s="10" t="s">
        <v>114</v>
      </c>
      <c r="C14" s="10" t="s">
        <v>90</v>
      </c>
      <c r="D14" s="10" t="s">
        <v>91</v>
      </c>
      <c r="E14" s="10" t="s">
        <v>92</v>
      </c>
      <c r="F14" s="10" t="s">
        <v>93</v>
      </c>
      <c r="G14" s="11" t="n">
        <v>37637</v>
      </c>
      <c r="H14" s="11" t="n">
        <v>434</v>
      </c>
      <c r="I14" s="11" t="n">
        <v>628</v>
      </c>
      <c r="J14" s="11" t="n">
        <v>7</v>
      </c>
      <c r="K14" s="10" t="str">
        <f aca="false">IF(ISNUMBER(J14),IF(J14&lt;10,"ультра-НЧ",IF(J14&lt;100,"НЧ",IF(J14&lt;=1000,"СЧ","ВЧ"))),IF(ISNUMBER(I14),IF(I14&lt;10,"ультра-НЧ",IF(I14&lt;100,"НЧ",IF(I14&lt;=1000,"СЧ","ВЧ"))),"нет данных"))</f>
        <v>ультра-НЧ</v>
      </c>
      <c r="L14" s="12" t="n">
        <f aca="false">IF(AND(ISNUMBER(G14),G14&gt;0,ISNUMBER(I14)),I14/G14,"")</f>
        <v>0.0166857082126631</v>
      </c>
      <c r="M14" s="10" t="s">
        <v>103</v>
      </c>
      <c r="N14" s="10" t="s">
        <v>114</v>
      </c>
      <c r="O14" s="10"/>
    </row>
    <row r="15" customFormat="false" ht="15" hidden="false" customHeight="false" outlineLevel="0" collapsed="false">
      <c r="A15" s="10" t="n">
        <v>14</v>
      </c>
      <c r="B15" s="10" t="s">
        <v>115</v>
      </c>
      <c r="C15" s="10" t="s">
        <v>90</v>
      </c>
      <c r="D15" s="10" t="s">
        <v>91</v>
      </c>
      <c r="E15" s="10" t="s">
        <v>92</v>
      </c>
      <c r="F15" s="10" t="s">
        <v>93</v>
      </c>
      <c r="G15" s="11" t="n">
        <v>3283</v>
      </c>
      <c r="H15" s="11" t="n">
        <v>332</v>
      </c>
      <c r="I15" s="11" t="n">
        <v>57</v>
      </c>
      <c r="J15" s="11" t="n">
        <v>7</v>
      </c>
      <c r="K15" s="10" t="str">
        <f aca="false">IF(ISNUMBER(J15),IF(J15&lt;10,"ультра-НЧ",IF(J15&lt;100,"НЧ",IF(J15&lt;=1000,"СЧ","ВЧ"))),IF(ISNUMBER(I15),IF(I15&lt;10,"ультра-НЧ",IF(I15&lt;100,"НЧ",IF(I15&lt;=1000,"СЧ","ВЧ"))),"нет данных"))</f>
        <v>ультра-НЧ</v>
      </c>
      <c r="L15" s="12" t="n">
        <f aca="false">IF(AND(ISNUMBER(G15),G15&gt;0,ISNUMBER(I15)),I15/G15,"")</f>
        <v>0.0173621687480963</v>
      </c>
      <c r="M15" s="10" t="s">
        <v>105</v>
      </c>
      <c r="N15" s="10" t="s">
        <v>116</v>
      </c>
      <c r="O15" s="10" t="s">
        <v>107</v>
      </c>
    </row>
    <row r="16" customFormat="false" ht="15" hidden="false" customHeight="false" outlineLevel="0" collapsed="false">
      <c r="A16" s="10" t="n">
        <v>15</v>
      </c>
      <c r="B16" s="10" t="s">
        <v>117</v>
      </c>
      <c r="C16" s="10" t="s">
        <v>90</v>
      </c>
      <c r="D16" s="10" t="s">
        <v>91</v>
      </c>
      <c r="E16" s="10" t="s">
        <v>92</v>
      </c>
      <c r="F16" s="10" t="s">
        <v>93</v>
      </c>
      <c r="G16" s="11" t="n">
        <v>12</v>
      </c>
      <c r="H16" s="11" t="n">
        <v>7</v>
      </c>
      <c r="I16" s="11" t="n">
        <v>10</v>
      </c>
      <c r="J16" s="11" t="n">
        <v>6</v>
      </c>
      <c r="K16" s="10" t="str">
        <f aca="false">IF(ISNUMBER(J16),IF(J16&lt;10,"ультра-НЧ",IF(J16&lt;100,"НЧ",IF(J16&lt;=1000,"СЧ","ВЧ"))),IF(ISNUMBER(I16),IF(I16&lt;10,"ультра-НЧ",IF(I16&lt;100,"НЧ",IF(I16&lt;=1000,"СЧ","ВЧ"))),"нет данных"))</f>
        <v>ультра-НЧ</v>
      </c>
      <c r="L16" s="12" t="n">
        <f aca="false">IF(AND(ISNUMBER(G16),G16&gt;0,ISNUMBER(I16)),I16/G16,"")</f>
        <v>0.833333333333333</v>
      </c>
      <c r="M16" s="10" t="s">
        <v>105</v>
      </c>
      <c r="N16" s="10" t="s">
        <v>118</v>
      </c>
      <c r="O16" s="10" t="s">
        <v>107</v>
      </c>
    </row>
    <row r="17" customFormat="false" ht="15" hidden="false" customHeight="false" outlineLevel="0" collapsed="false">
      <c r="A17" s="10" t="n">
        <v>16</v>
      </c>
      <c r="B17" s="10" t="s">
        <v>119</v>
      </c>
      <c r="C17" s="10" t="s">
        <v>90</v>
      </c>
      <c r="D17" s="10" t="s">
        <v>91</v>
      </c>
      <c r="E17" s="10" t="s">
        <v>92</v>
      </c>
      <c r="F17" s="10" t="s">
        <v>93</v>
      </c>
      <c r="G17" s="11" t="n">
        <v>63</v>
      </c>
      <c r="H17" s="11" t="n">
        <v>4</v>
      </c>
      <c r="I17" s="11" t="n">
        <v>59</v>
      </c>
      <c r="J17" s="11" t="n">
        <v>4</v>
      </c>
      <c r="K17" s="10" t="str">
        <f aca="false">IF(ISNUMBER(J17),IF(J17&lt;10,"ультра-НЧ",IF(J17&lt;100,"НЧ",IF(J17&lt;=1000,"СЧ","ВЧ"))),IF(ISNUMBER(I17),IF(I17&lt;10,"ультра-НЧ",IF(I17&lt;100,"НЧ",IF(I17&lt;=1000,"СЧ","ВЧ"))),"нет данных"))</f>
        <v>ультра-НЧ</v>
      </c>
      <c r="L17" s="12" t="n">
        <f aca="false">IF(AND(ISNUMBER(G17),G17&gt;0,ISNUMBER(I17)),I17/G17,"")</f>
        <v>0.936507936507937</v>
      </c>
      <c r="M17" s="10" t="s">
        <v>112</v>
      </c>
      <c r="N17" s="10" t="s">
        <v>119</v>
      </c>
      <c r="O17" s="10"/>
    </row>
    <row r="18" customFormat="false" ht="15" hidden="false" customHeight="false" outlineLevel="0" collapsed="false">
      <c r="A18" s="10" t="n">
        <v>17</v>
      </c>
      <c r="B18" s="10" t="s">
        <v>120</v>
      </c>
      <c r="C18" s="10" t="s">
        <v>90</v>
      </c>
      <c r="D18" s="10" t="s">
        <v>91</v>
      </c>
      <c r="E18" s="10" t="s">
        <v>92</v>
      </c>
      <c r="F18" s="10" t="s">
        <v>93</v>
      </c>
      <c r="G18" s="11" t="n">
        <v>119</v>
      </c>
      <c r="H18" s="11" t="n">
        <v>4</v>
      </c>
      <c r="I18" s="11" t="n">
        <v>2</v>
      </c>
      <c r="J18" s="11" t="n">
        <v>0</v>
      </c>
      <c r="K18" s="10" t="str">
        <f aca="false">IF(ISNUMBER(J18),IF(J18&lt;10,"ультра-НЧ",IF(J18&lt;100,"НЧ",IF(J18&lt;=1000,"СЧ","ВЧ"))),IF(ISNUMBER(I18),IF(I18&lt;10,"ультра-НЧ",IF(I18&lt;100,"НЧ",IF(I18&lt;=1000,"СЧ","ВЧ"))),"нет данных"))</f>
        <v>ультра-НЧ</v>
      </c>
      <c r="L18" s="12" t="n">
        <f aca="false">IF(AND(ISNUMBER(G18),G18&gt;0,ISNUMBER(I18)),I18/G18,"")</f>
        <v>0.0168067226890756</v>
      </c>
      <c r="M18" s="10" t="s">
        <v>94</v>
      </c>
      <c r="N18" s="10" t="s">
        <v>120</v>
      </c>
      <c r="O18" s="10"/>
    </row>
    <row r="19" customFormat="false" ht="15" hidden="false" customHeight="false" outlineLevel="0" collapsed="false">
      <c r="A19" s="10" t="n">
        <v>18</v>
      </c>
      <c r="B19" s="10" t="s">
        <v>121</v>
      </c>
      <c r="C19" s="10" t="s">
        <v>90</v>
      </c>
      <c r="D19" s="10" t="s">
        <v>91</v>
      </c>
      <c r="E19" s="10" t="s">
        <v>92</v>
      </c>
      <c r="F19" s="10" t="s">
        <v>93</v>
      </c>
      <c r="G19" s="11" t="n">
        <v>27372</v>
      </c>
      <c r="H19" s="11" t="n">
        <v>145</v>
      </c>
      <c r="I19" s="11" t="n">
        <v>430</v>
      </c>
      <c r="J19" s="11" t="n">
        <v>1</v>
      </c>
      <c r="K19" s="10" t="str">
        <f aca="false">IF(ISNUMBER(J19),IF(J19&lt;10,"ультра-НЧ",IF(J19&lt;100,"НЧ",IF(J19&lt;=1000,"СЧ","ВЧ"))),IF(ISNUMBER(I19),IF(I19&lt;10,"ультра-НЧ",IF(I19&lt;100,"НЧ",IF(I19&lt;=1000,"СЧ","ВЧ"))),"нет данных"))</f>
        <v>ультра-НЧ</v>
      </c>
      <c r="L19" s="12" t="n">
        <f aca="false">IF(AND(ISNUMBER(G19),G19&gt;0,ISNUMBER(I19)),I19/G19,"")</f>
        <v>0.0157094841443811</v>
      </c>
      <c r="M19" s="10" t="s">
        <v>112</v>
      </c>
      <c r="N19" s="10" t="s">
        <v>121</v>
      </c>
      <c r="O19" s="10"/>
    </row>
    <row r="20" customFormat="false" ht="15" hidden="false" customHeight="false" outlineLevel="0" collapsed="false">
      <c r="A20" s="10" t="n">
        <v>19</v>
      </c>
      <c r="B20" s="10" t="s">
        <v>122</v>
      </c>
      <c r="C20" s="10" t="s">
        <v>90</v>
      </c>
      <c r="D20" s="10" t="s">
        <v>91</v>
      </c>
      <c r="E20" s="10" t="s">
        <v>92</v>
      </c>
      <c r="F20" s="10" t="s">
        <v>123</v>
      </c>
      <c r="G20" s="11" t="n">
        <v>1715</v>
      </c>
      <c r="H20" s="11"/>
      <c r="I20" s="11"/>
      <c r="J20" s="11" t="n">
        <v>0</v>
      </c>
      <c r="K20" s="10" t="str">
        <f aca="false">IF(ISNUMBER(J20),IF(J20&lt;10,"ультра-НЧ",IF(J20&lt;100,"НЧ",IF(J20&lt;=1000,"СЧ","ВЧ"))),IF(ISNUMBER(I20),IF(I20&lt;10,"ультра-НЧ",IF(I20&lt;100,"НЧ",IF(I20&lt;=1000,"СЧ","ВЧ"))),"нет данных"))</f>
        <v>ультра-НЧ</v>
      </c>
      <c r="L20" s="12" t="str">
        <f aca="false">IF(AND(ISNUMBER(G20),G20&gt;0,ISNUMBER(I20)),I20/G20,"")</f>
        <v/>
      </c>
      <c r="M20" s="10" t="s">
        <v>105</v>
      </c>
      <c r="N20" s="10" t="s">
        <v>122</v>
      </c>
      <c r="O20" s="10" t="s">
        <v>107</v>
      </c>
    </row>
    <row r="21" customFormat="false" ht="15" hidden="false" customHeight="false" outlineLevel="0" collapsed="false">
      <c r="A21" s="10" t="n">
        <v>20</v>
      </c>
      <c r="B21" s="10" t="s">
        <v>124</v>
      </c>
      <c r="C21" s="10" t="s">
        <v>90</v>
      </c>
      <c r="D21" s="10" t="s">
        <v>91</v>
      </c>
      <c r="E21" s="10" t="s">
        <v>92</v>
      </c>
      <c r="F21" s="10" t="s">
        <v>123</v>
      </c>
      <c r="G21" s="11" t="n">
        <v>1311</v>
      </c>
      <c r="H21" s="11"/>
      <c r="I21" s="11"/>
      <c r="J21" s="11" t="n">
        <v>0</v>
      </c>
      <c r="K21" s="10" t="str">
        <f aca="false">IF(ISNUMBER(J21),IF(J21&lt;10,"ультра-НЧ",IF(J21&lt;100,"НЧ",IF(J21&lt;=1000,"СЧ","ВЧ"))),IF(ISNUMBER(I21),IF(I21&lt;10,"ультра-НЧ",IF(I21&lt;100,"НЧ",IF(I21&lt;=1000,"СЧ","ВЧ"))),"нет данных"))</f>
        <v>ультра-НЧ</v>
      </c>
      <c r="L21" s="12" t="str">
        <f aca="false">IF(AND(ISNUMBER(G21),G21&gt;0,ISNUMBER(I21)),I21/G21,"")</f>
        <v/>
      </c>
      <c r="M21" s="10" t="s">
        <v>103</v>
      </c>
      <c r="N21" s="10" t="s">
        <v>125</v>
      </c>
      <c r="O21" s="10"/>
    </row>
    <row r="22" customFormat="false" ht="15" hidden="false" customHeight="false" outlineLevel="0" collapsed="false">
      <c r="A22" s="10" t="n">
        <v>21</v>
      </c>
      <c r="B22" s="10" t="s">
        <v>126</v>
      </c>
      <c r="C22" s="10" t="s">
        <v>90</v>
      </c>
      <c r="D22" s="10" t="s">
        <v>91</v>
      </c>
      <c r="E22" s="10" t="s">
        <v>92</v>
      </c>
      <c r="F22" s="10" t="s">
        <v>123</v>
      </c>
      <c r="G22" s="11" t="n">
        <v>1290</v>
      </c>
      <c r="H22" s="11"/>
      <c r="I22" s="11"/>
      <c r="J22" s="11" t="n">
        <v>0</v>
      </c>
      <c r="K22" s="10" t="str">
        <f aca="false">IF(ISNUMBER(J22),IF(J22&lt;10,"ультра-НЧ",IF(J22&lt;100,"НЧ",IF(J22&lt;=1000,"СЧ","ВЧ"))),IF(ISNUMBER(I22),IF(I22&lt;10,"ультра-НЧ",IF(I22&lt;100,"НЧ",IF(I22&lt;=1000,"СЧ","ВЧ"))),"нет данных"))</f>
        <v>ультра-НЧ</v>
      </c>
      <c r="L22" s="12" t="str">
        <f aca="false">IF(AND(ISNUMBER(G22),G22&gt;0,ISNUMBER(I22)),I22/G22,"")</f>
        <v/>
      </c>
      <c r="M22" s="10" t="s">
        <v>105</v>
      </c>
      <c r="N22" s="10" t="s">
        <v>126</v>
      </c>
      <c r="O22" s="10" t="s">
        <v>107</v>
      </c>
    </row>
    <row r="23" customFormat="false" ht="15" hidden="false" customHeight="false" outlineLevel="0" collapsed="false">
      <c r="A23" s="10" t="n">
        <v>22</v>
      </c>
      <c r="B23" s="10" t="s">
        <v>127</v>
      </c>
      <c r="C23" s="10" t="s">
        <v>90</v>
      </c>
      <c r="D23" s="10" t="s">
        <v>91</v>
      </c>
      <c r="E23" s="10" t="s">
        <v>92</v>
      </c>
      <c r="F23" s="10" t="s">
        <v>123</v>
      </c>
      <c r="G23" s="11" t="n">
        <v>1274</v>
      </c>
      <c r="H23" s="11"/>
      <c r="I23" s="11"/>
      <c r="J23" s="11" t="n">
        <v>0</v>
      </c>
      <c r="K23" s="10" t="str">
        <f aca="false">IF(ISNUMBER(J23),IF(J23&lt;10,"ультра-НЧ",IF(J23&lt;100,"НЧ",IF(J23&lt;=1000,"СЧ","ВЧ"))),IF(ISNUMBER(I23),IF(I23&lt;10,"ультра-НЧ",IF(I23&lt;100,"НЧ",IF(I23&lt;=1000,"СЧ","ВЧ"))),"нет данных"))</f>
        <v>ультра-НЧ</v>
      </c>
      <c r="L23" s="12" t="str">
        <f aca="false">IF(AND(ISNUMBER(G23),G23&gt;0,ISNUMBER(I23)),I23/G23,"")</f>
        <v/>
      </c>
      <c r="M23" s="10" t="s">
        <v>105</v>
      </c>
      <c r="N23" s="10" t="s">
        <v>127</v>
      </c>
      <c r="O23" s="10" t="s">
        <v>107</v>
      </c>
    </row>
    <row r="24" customFormat="false" ht="15" hidden="false" customHeight="false" outlineLevel="0" collapsed="false">
      <c r="A24" s="10" t="n">
        <v>23</v>
      </c>
      <c r="B24" s="10" t="s">
        <v>128</v>
      </c>
      <c r="C24" s="10" t="s">
        <v>90</v>
      </c>
      <c r="D24" s="10" t="s">
        <v>91</v>
      </c>
      <c r="E24" s="10" t="s">
        <v>92</v>
      </c>
      <c r="F24" s="10" t="s">
        <v>123</v>
      </c>
      <c r="G24" s="11" t="n">
        <v>729</v>
      </c>
      <c r="H24" s="11"/>
      <c r="I24" s="11"/>
      <c r="J24" s="11" t="n">
        <v>0</v>
      </c>
      <c r="K24" s="10" t="str">
        <f aca="false">IF(ISNUMBER(J24),IF(J24&lt;10,"ультра-НЧ",IF(J24&lt;100,"НЧ",IF(J24&lt;=1000,"СЧ","ВЧ"))),IF(ISNUMBER(I24),IF(I24&lt;10,"ультра-НЧ",IF(I24&lt;100,"НЧ",IF(I24&lt;=1000,"СЧ","ВЧ"))),"нет данных"))</f>
        <v>ультра-НЧ</v>
      </c>
      <c r="L24" s="12" t="str">
        <f aca="false">IF(AND(ISNUMBER(G24),G24&gt;0,ISNUMBER(I24)),I24/G24,"")</f>
        <v/>
      </c>
      <c r="M24" s="10" t="s">
        <v>105</v>
      </c>
      <c r="N24" s="10" t="s">
        <v>128</v>
      </c>
      <c r="O24" s="10" t="s">
        <v>107</v>
      </c>
    </row>
    <row r="25" customFormat="false" ht="15" hidden="false" customHeight="false" outlineLevel="0" collapsed="false">
      <c r="A25" s="10" t="n">
        <v>24</v>
      </c>
      <c r="B25" s="10" t="s">
        <v>129</v>
      </c>
      <c r="C25" s="10" t="s">
        <v>90</v>
      </c>
      <c r="D25" s="10" t="s">
        <v>91</v>
      </c>
      <c r="E25" s="10" t="s">
        <v>92</v>
      </c>
      <c r="F25" s="10" t="s">
        <v>123</v>
      </c>
      <c r="G25" s="11" t="n">
        <v>706</v>
      </c>
      <c r="H25" s="11"/>
      <c r="I25" s="11"/>
      <c r="J25" s="11" t="n">
        <v>0</v>
      </c>
      <c r="K25" s="10" t="str">
        <f aca="false">IF(ISNUMBER(J25),IF(J25&lt;10,"ультра-НЧ",IF(J25&lt;100,"НЧ",IF(J25&lt;=1000,"СЧ","ВЧ"))),IF(ISNUMBER(I25),IF(I25&lt;10,"ультра-НЧ",IF(I25&lt;100,"НЧ",IF(I25&lt;=1000,"СЧ","ВЧ"))),"нет данных"))</f>
        <v>ультра-НЧ</v>
      </c>
      <c r="L25" s="12" t="str">
        <f aca="false">IF(AND(ISNUMBER(G25),G25&gt;0,ISNUMBER(I25)),I25/G25,"")</f>
        <v/>
      </c>
      <c r="M25" s="10" t="s">
        <v>105</v>
      </c>
      <c r="N25" s="10" t="s">
        <v>129</v>
      </c>
      <c r="O25" s="10" t="s">
        <v>107</v>
      </c>
    </row>
    <row r="26" customFormat="false" ht="15" hidden="false" customHeight="false" outlineLevel="0" collapsed="false">
      <c r="A26" s="10" t="n">
        <v>25</v>
      </c>
      <c r="B26" s="10" t="s">
        <v>130</v>
      </c>
      <c r="C26" s="10" t="s">
        <v>90</v>
      </c>
      <c r="D26" s="10" t="s">
        <v>91</v>
      </c>
      <c r="E26" s="10" t="s">
        <v>92</v>
      </c>
      <c r="F26" s="10" t="s">
        <v>123</v>
      </c>
      <c r="G26" s="11" t="n">
        <v>690</v>
      </c>
      <c r="H26" s="11"/>
      <c r="I26" s="11"/>
      <c r="J26" s="11" t="n">
        <v>0</v>
      </c>
      <c r="K26" s="10" t="str">
        <f aca="false">IF(ISNUMBER(J26),IF(J26&lt;10,"ультра-НЧ",IF(J26&lt;100,"НЧ",IF(J26&lt;=1000,"СЧ","ВЧ"))),IF(ISNUMBER(I26),IF(I26&lt;10,"ультра-НЧ",IF(I26&lt;100,"НЧ",IF(I26&lt;=1000,"СЧ","ВЧ"))),"нет данных"))</f>
        <v>ультра-НЧ</v>
      </c>
      <c r="L26" s="12" t="str">
        <f aca="false">IF(AND(ISNUMBER(G26),G26&gt;0,ISNUMBER(I26)),I26/G26,"")</f>
        <v/>
      </c>
      <c r="M26" s="10" t="s">
        <v>105</v>
      </c>
      <c r="N26" s="10" t="s">
        <v>130</v>
      </c>
      <c r="O26" s="10" t="s">
        <v>107</v>
      </c>
    </row>
    <row r="27" customFormat="false" ht="15" hidden="false" customHeight="false" outlineLevel="0" collapsed="false">
      <c r="A27" s="10" t="n">
        <v>26</v>
      </c>
      <c r="B27" s="10" t="s">
        <v>131</v>
      </c>
      <c r="C27" s="10" t="s">
        <v>90</v>
      </c>
      <c r="D27" s="10" t="s">
        <v>91</v>
      </c>
      <c r="E27" s="10" t="s">
        <v>92</v>
      </c>
      <c r="F27" s="10" t="s">
        <v>123</v>
      </c>
      <c r="G27" s="11" t="n">
        <v>619</v>
      </c>
      <c r="H27" s="11"/>
      <c r="I27" s="11"/>
      <c r="J27" s="11" t="n">
        <v>0</v>
      </c>
      <c r="K27" s="10" t="str">
        <f aca="false">IF(ISNUMBER(J27),IF(J27&lt;10,"ультра-НЧ",IF(J27&lt;100,"НЧ",IF(J27&lt;=1000,"СЧ","ВЧ"))),IF(ISNUMBER(I27),IF(I27&lt;10,"ультра-НЧ",IF(I27&lt;100,"НЧ",IF(I27&lt;=1000,"СЧ","ВЧ"))),"нет данных"))</f>
        <v>ультра-НЧ</v>
      </c>
      <c r="L27" s="12" t="str">
        <f aca="false">IF(AND(ISNUMBER(G27),G27&gt;0,ISNUMBER(I27)),I27/G27,"")</f>
        <v/>
      </c>
      <c r="M27" s="10" t="s">
        <v>105</v>
      </c>
      <c r="N27" s="10" t="s">
        <v>131</v>
      </c>
      <c r="O27" s="10" t="s">
        <v>107</v>
      </c>
    </row>
    <row r="28" customFormat="false" ht="15" hidden="false" customHeight="false" outlineLevel="0" collapsed="false">
      <c r="A28" s="10" t="n">
        <v>27</v>
      </c>
      <c r="B28" s="10" t="s">
        <v>132</v>
      </c>
      <c r="C28" s="10" t="s">
        <v>90</v>
      </c>
      <c r="D28" s="10" t="s">
        <v>91</v>
      </c>
      <c r="E28" s="10" t="s">
        <v>92</v>
      </c>
      <c r="F28" s="10" t="s">
        <v>123</v>
      </c>
      <c r="G28" s="11" t="n">
        <v>609</v>
      </c>
      <c r="H28" s="11"/>
      <c r="I28" s="11"/>
      <c r="J28" s="11" t="n">
        <v>0</v>
      </c>
      <c r="K28" s="10" t="str">
        <f aca="false">IF(ISNUMBER(J28),IF(J28&lt;10,"ультра-НЧ",IF(J28&lt;100,"НЧ",IF(J28&lt;=1000,"СЧ","ВЧ"))),IF(ISNUMBER(I28),IF(I28&lt;10,"ультра-НЧ",IF(I28&lt;100,"НЧ",IF(I28&lt;=1000,"СЧ","ВЧ"))),"нет данных"))</f>
        <v>ультра-НЧ</v>
      </c>
      <c r="L28" s="12" t="str">
        <f aca="false">IF(AND(ISNUMBER(G28),G28&gt;0,ISNUMBER(I28)),I28/G28,"")</f>
        <v/>
      </c>
      <c r="M28" s="10" t="s">
        <v>105</v>
      </c>
      <c r="N28" s="10" t="s">
        <v>133</v>
      </c>
      <c r="O28" s="10" t="s">
        <v>107</v>
      </c>
    </row>
    <row r="29" customFormat="false" ht="15" hidden="false" customHeight="false" outlineLevel="0" collapsed="false">
      <c r="A29" s="10" t="n">
        <v>28</v>
      </c>
      <c r="B29" s="10" t="s">
        <v>134</v>
      </c>
      <c r="C29" s="10" t="s">
        <v>90</v>
      </c>
      <c r="D29" s="10" t="s">
        <v>91</v>
      </c>
      <c r="E29" s="10" t="s">
        <v>92</v>
      </c>
      <c r="F29" s="10" t="s">
        <v>123</v>
      </c>
      <c r="G29" s="11" t="n">
        <v>573</v>
      </c>
      <c r="H29" s="11"/>
      <c r="I29" s="11"/>
      <c r="J29" s="11" t="n">
        <v>0</v>
      </c>
      <c r="K29" s="10" t="str">
        <f aca="false">IF(ISNUMBER(J29),IF(J29&lt;10,"ультра-НЧ",IF(J29&lt;100,"НЧ",IF(J29&lt;=1000,"СЧ","ВЧ"))),IF(ISNUMBER(I29),IF(I29&lt;10,"ультра-НЧ",IF(I29&lt;100,"НЧ",IF(I29&lt;=1000,"СЧ","ВЧ"))),"нет данных"))</f>
        <v>ультра-НЧ</v>
      </c>
      <c r="L29" s="12" t="str">
        <f aca="false">IF(AND(ISNUMBER(G29),G29&gt;0,ISNUMBER(I29)),I29/G29,"")</f>
        <v/>
      </c>
      <c r="M29" s="10" t="s">
        <v>105</v>
      </c>
      <c r="N29" s="10" t="s">
        <v>134</v>
      </c>
      <c r="O29" s="10" t="s">
        <v>107</v>
      </c>
    </row>
    <row r="30" customFormat="false" ht="15" hidden="false" customHeight="false" outlineLevel="0" collapsed="false">
      <c r="A30" s="10" t="n">
        <v>29</v>
      </c>
      <c r="B30" s="10" t="s">
        <v>135</v>
      </c>
      <c r="C30" s="10" t="s">
        <v>90</v>
      </c>
      <c r="D30" s="10" t="s">
        <v>91</v>
      </c>
      <c r="E30" s="10" t="s">
        <v>92</v>
      </c>
      <c r="F30" s="10" t="s">
        <v>136</v>
      </c>
      <c r="G30" s="11" t="n">
        <v>543</v>
      </c>
      <c r="H30" s="11"/>
      <c r="I30" s="11"/>
      <c r="J30" s="11"/>
      <c r="K30" s="10" t="str">
        <f aca="false">IF(ISNUMBER(J30),IF(J30&lt;10,"ультра-НЧ",IF(J30&lt;100,"НЧ",IF(J30&lt;=1000,"СЧ","ВЧ"))),IF(ISNUMBER(I30),IF(I30&lt;10,"ультра-НЧ",IF(I30&lt;100,"НЧ",IF(I30&lt;=1000,"СЧ","ВЧ"))),"нет данных"))</f>
        <v>нет данных</v>
      </c>
      <c r="L30" s="12" t="str">
        <f aca="false">IF(AND(ISNUMBER(G30),G30&gt;0,ISNUMBER(I30)),I30/G30,"")</f>
        <v/>
      </c>
      <c r="M30" s="10" t="s">
        <v>105</v>
      </c>
      <c r="N30" s="10" t="s">
        <v>135</v>
      </c>
      <c r="O30" s="10" t="s">
        <v>107</v>
      </c>
    </row>
    <row r="31" customFormat="false" ht="15" hidden="false" customHeight="false" outlineLevel="0" collapsed="false">
      <c r="A31" s="10" t="n">
        <v>30</v>
      </c>
      <c r="B31" s="10" t="s">
        <v>137</v>
      </c>
      <c r="C31" s="10" t="s">
        <v>90</v>
      </c>
      <c r="D31" s="10" t="s">
        <v>91</v>
      </c>
      <c r="E31" s="10" t="s">
        <v>92</v>
      </c>
      <c r="F31" s="10" t="s">
        <v>136</v>
      </c>
      <c r="G31" s="11" t="n">
        <v>527</v>
      </c>
      <c r="H31" s="11"/>
      <c r="I31" s="11"/>
      <c r="J31" s="11"/>
      <c r="K31" s="10" t="str">
        <f aca="false">IF(ISNUMBER(J31),IF(J31&lt;10,"ультра-НЧ",IF(J31&lt;100,"НЧ",IF(J31&lt;=1000,"СЧ","ВЧ"))),IF(ISNUMBER(I31),IF(I31&lt;10,"ультра-НЧ",IF(I31&lt;100,"НЧ",IF(I31&lt;=1000,"СЧ","ВЧ"))),"нет данных"))</f>
        <v>нет данных</v>
      </c>
      <c r="L31" s="12" t="str">
        <f aca="false">IF(AND(ISNUMBER(G31),G31&gt;0,ISNUMBER(I31)),I31/G31,"")</f>
        <v/>
      </c>
      <c r="M31" s="10" t="s">
        <v>105</v>
      </c>
      <c r="N31" s="10" t="s">
        <v>138</v>
      </c>
      <c r="O31" s="10" t="s">
        <v>107</v>
      </c>
    </row>
    <row r="32" customFormat="false" ht="15" hidden="false" customHeight="false" outlineLevel="0" collapsed="false">
      <c r="A32" s="10" t="n">
        <v>31</v>
      </c>
      <c r="B32" s="10" t="s">
        <v>139</v>
      </c>
      <c r="C32" s="10" t="s">
        <v>90</v>
      </c>
      <c r="D32" s="10" t="s">
        <v>91</v>
      </c>
      <c r="E32" s="10" t="s">
        <v>92</v>
      </c>
      <c r="F32" s="10" t="s">
        <v>136</v>
      </c>
      <c r="G32" s="11" t="n">
        <v>485</v>
      </c>
      <c r="H32" s="11"/>
      <c r="I32" s="11"/>
      <c r="J32" s="11"/>
      <c r="K32" s="10" t="str">
        <f aca="false">IF(ISNUMBER(J32),IF(J32&lt;10,"ультра-НЧ",IF(J32&lt;100,"НЧ",IF(J32&lt;=1000,"СЧ","ВЧ"))),IF(ISNUMBER(I32),IF(I32&lt;10,"ультра-НЧ",IF(I32&lt;100,"НЧ",IF(I32&lt;=1000,"СЧ","ВЧ"))),"нет данных"))</f>
        <v>нет данных</v>
      </c>
      <c r="L32" s="12" t="str">
        <f aca="false">IF(AND(ISNUMBER(G32),G32&gt;0,ISNUMBER(I32)),I32/G32,"")</f>
        <v/>
      </c>
      <c r="M32" s="10" t="s">
        <v>105</v>
      </c>
      <c r="N32" s="10" t="s">
        <v>139</v>
      </c>
      <c r="O32" s="10" t="s">
        <v>107</v>
      </c>
    </row>
    <row r="33" customFormat="false" ht="15" hidden="false" customHeight="false" outlineLevel="0" collapsed="false">
      <c r="A33" s="10" t="n">
        <v>32</v>
      </c>
      <c r="B33" s="10" t="s">
        <v>140</v>
      </c>
      <c r="C33" s="10" t="s">
        <v>90</v>
      </c>
      <c r="D33" s="10" t="s">
        <v>91</v>
      </c>
      <c r="E33" s="10" t="s">
        <v>92</v>
      </c>
      <c r="F33" s="10" t="s">
        <v>136</v>
      </c>
      <c r="G33" s="11" t="n">
        <v>475</v>
      </c>
      <c r="H33" s="11"/>
      <c r="I33" s="11"/>
      <c r="J33" s="11"/>
      <c r="K33" s="10" t="str">
        <f aca="false">IF(ISNUMBER(J33),IF(J33&lt;10,"ультра-НЧ",IF(J33&lt;100,"НЧ",IF(J33&lt;=1000,"СЧ","ВЧ"))),IF(ISNUMBER(I33),IF(I33&lt;10,"ультра-НЧ",IF(I33&lt;100,"НЧ",IF(I33&lt;=1000,"СЧ","ВЧ"))),"нет данных"))</f>
        <v>нет данных</v>
      </c>
      <c r="L33" s="12" t="str">
        <f aca="false">IF(AND(ISNUMBER(G33),G33&gt;0,ISNUMBER(I33)),I33/G33,"")</f>
        <v/>
      </c>
      <c r="M33" s="10" t="s">
        <v>105</v>
      </c>
      <c r="N33" s="10" t="s">
        <v>140</v>
      </c>
      <c r="O33" s="10" t="s">
        <v>107</v>
      </c>
    </row>
    <row r="34" customFormat="false" ht="15" hidden="false" customHeight="false" outlineLevel="0" collapsed="false">
      <c r="A34" s="10" t="n">
        <v>33</v>
      </c>
      <c r="B34" s="10" t="s">
        <v>141</v>
      </c>
      <c r="C34" s="10" t="s">
        <v>90</v>
      </c>
      <c r="D34" s="10" t="s">
        <v>91</v>
      </c>
      <c r="E34" s="10" t="s">
        <v>92</v>
      </c>
      <c r="F34" s="10" t="s">
        <v>136</v>
      </c>
      <c r="G34" s="11" t="n">
        <v>457</v>
      </c>
      <c r="H34" s="11"/>
      <c r="I34" s="11"/>
      <c r="J34" s="11"/>
      <c r="K34" s="10" t="str">
        <f aca="false">IF(ISNUMBER(J34),IF(J34&lt;10,"ультра-НЧ",IF(J34&lt;100,"НЧ",IF(J34&lt;=1000,"СЧ","ВЧ"))),IF(ISNUMBER(I34),IF(I34&lt;10,"ультра-НЧ",IF(I34&lt;100,"НЧ",IF(I34&lt;=1000,"СЧ","ВЧ"))),"нет данных"))</f>
        <v>нет данных</v>
      </c>
      <c r="L34" s="12" t="str">
        <f aca="false">IF(AND(ISNUMBER(G34),G34&gt;0,ISNUMBER(I34)),I34/G34,"")</f>
        <v/>
      </c>
      <c r="M34" s="10" t="s">
        <v>103</v>
      </c>
      <c r="N34" s="10" t="s">
        <v>141</v>
      </c>
      <c r="O34" s="10"/>
    </row>
    <row r="35" customFormat="false" ht="15" hidden="false" customHeight="false" outlineLevel="0" collapsed="false">
      <c r="A35" s="10" t="n">
        <v>34</v>
      </c>
      <c r="B35" s="10" t="s">
        <v>142</v>
      </c>
      <c r="C35" s="10" t="s">
        <v>90</v>
      </c>
      <c r="D35" s="10" t="s">
        <v>91</v>
      </c>
      <c r="E35" s="10" t="s">
        <v>92</v>
      </c>
      <c r="F35" s="10" t="s">
        <v>136</v>
      </c>
      <c r="G35" s="11" t="n">
        <v>449</v>
      </c>
      <c r="H35" s="11"/>
      <c r="I35" s="11"/>
      <c r="J35" s="11"/>
      <c r="K35" s="10" t="str">
        <f aca="false">IF(ISNUMBER(J35),IF(J35&lt;10,"ультра-НЧ",IF(J35&lt;100,"НЧ",IF(J35&lt;=1000,"СЧ","ВЧ"))),IF(ISNUMBER(I35),IF(I35&lt;10,"ультра-НЧ",IF(I35&lt;100,"НЧ",IF(I35&lt;=1000,"СЧ","ВЧ"))),"нет данных"))</f>
        <v>нет данных</v>
      </c>
      <c r="L35" s="12" t="str">
        <f aca="false">IF(AND(ISNUMBER(G35),G35&gt;0,ISNUMBER(I35)),I35/G35,"")</f>
        <v/>
      </c>
      <c r="M35" s="10" t="s">
        <v>105</v>
      </c>
      <c r="N35" s="10" t="s">
        <v>142</v>
      </c>
      <c r="O35" s="10" t="s">
        <v>107</v>
      </c>
    </row>
    <row r="36" customFormat="false" ht="15" hidden="false" customHeight="false" outlineLevel="0" collapsed="false">
      <c r="A36" s="10" t="n">
        <v>35</v>
      </c>
      <c r="B36" s="10" t="s">
        <v>143</v>
      </c>
      <c r="C36" s="10" t="s">
        <v>90</v>
      </c>
      <c r="D36" s="10" t="s">
        <v>91</v>
      </c>
      <c r="E36" s="10" t="s">
        <v>92</v>
      </c>
      <c r="F36" s="10" t="s">
        <v>136</v>
      </c>
      <c r="G36" s="11" t="n">
        <v>430</v>
      </c>
      <c r="H36" s="11"/>
      <c r="I36" s="11"/>
      <c r="J36" s="11"/>
      <c r="K36" s="10" t="str">
        <f aca="false">IF(ISNUMBER(J36),IF(J36&lt;10,"ультра-НЧ",IF(J36&lt;100,"НЧ",IF(J36&lt;=1000,"СЧ","ВЧ"))),IF(ISNUMBER(I36),IF(I36&lt;10,"ультра-НЧ",IF(I36&lt;100,"НЧ",IF(I36&lt;=1000,"СЧ","ВЧ"))),"нет данных"))</f>
        <v>нет данных</v>
      </c>
      <c r="L36" s="12" t="str">
        <f aca="false">IF(AND(ISNUMBER(G36),G36&gt;0,ISNUMBER(I36)),I36/G36,"")</f>
        <v/>
      </c>
      <c r="M36" s="10" t="s">
        <v>105</v>
      </c>
      <c r="N36" s="10" t="s">
        <v>144</v>
      </c>
      <c r="O36" s="10" t="s">
        <v>107</v>
      </c>
    </row>
    <row r="37" customFormat="false" ht="15" hidden="false" customHeight="false" outlineLevel="0" collapsed="false">
      <c r="A37" s="10" t="n">
        <v>36</v>
      </c>
      <c r="B37" s="10" t="s">
        <v>145</v>
      </c>
      <c r="C37" s="10" t="s">
        <v>90</v>
      </c>
      <c r="D37" s="10" t="s">
        <v>91</v>
      </c>
      <c r="E37" s="10" t="s">
        <v>92</v>
      </c>
      <c r="F37" s="10" t="s">
        <v>136</v>
      </c>
      <c r="G37" s="11" t="n">
        <v>415</v>
      </c>
      <c r="H37" s="11"/>
      <c r="I37" s="11"/>
      <c r="J37" s="11"/>
      <c r="K37" s="10" t="str">
        <f aca="false">IF(ISNUMBER(J37),IF(J37&lt;10,"ультра-НЧ",IF(J37&lt;100,"НЧ",IF(J37&lt;=1000,"СЧ","ВЧ"))),IF(ISNUMBER(I37),IF(I37&lt;10,"ультра-НЧ",IF(I37&lt;100,"НЧ",IF(I37&lt;=1000,"СЧ","ВЧ"))),"нет данных"))</f>
        <v>нет данных</v>
      </c>
      <c r="L37" s="12" t="str">
        <f aca="false">IF(AND(ISNUMBER(G37),G37&gt;0,ISNUMBER(I37)),I37/G37,"")</f>
        <v/>
      </c>
      <c r="M37" s="10" t="s">
        <v>103</v>
      </c>
      <c r="N37" s="10" t="s">
        <v>145</v>
      </c>
      <c r="O37" s="10"/>
    </row>
    <row r="38" customFormat="false" ht="15" hidden="false" customHeight="false" outlineLevel="0" collapsed="false">
      <c r="A38" s="10" t="n">
        <v>37</v>
      </c>
      <c r="B38" s="10" t="s">
        <v>146</v>
      </c>
      <c r="C38" s="10" t="s">
        <v>90</v>
      </c>
      <c r="D38" s="10" t="s">
        <v>91</v>
      </c>
      <c r="E38" s="10" t="s">
        <v>92</v>
      </c>
      <c r="F38" s="10" t="s">
        <v>136</v>
      </c>
      <c r="G38" s="11" t="n">
        <v>386</v>
      </c>
      <c r="H38" s="11"/>
      <c r="I38" s="11"/>
      <c r="J38" s="11"/>
      <c r="K38" s="10" t="str">
        <f aca="false">IF(ISNUMBER(J38),IF(J38&lt;10,"ультра-НЧ",IF(J38&lt;100,"НЧ",IF(J38&lt;=1000,"СЧ","ВЧ"))),IF(ISNUMBER(I38),IF(I38&lt;10,"ультра-НЧ",IF(I38&lt;100,"НЧ",IF(I38&lt;=1000,"СЧ","ВЧ"))),"нет данных"))</f>
        <v>нет данных</v>
      </c>
      <c r="L38" s="12" t="str">
        <f aca="false">IF(AND(ISNUMBER(G38),G38&gt;0,ISNUMBER(I38)),I38/G38,"")</f>
        <v/>
      </c>
      <c r="M38" s="10" t="s">
        <v>105</v>
      </c>
      <c r="N38" s="10" t="s">
        <v>146</v>
      </c>
      <c r="O38" s="10" t="s">
        <v>107</v>
      </c>
    </row>
    <row r="39" customFormat="false" ht="15" hidden="false" customHeight="false" outlineLevel="0" collapsed="false">
      <c r="A39" s="10" t="n">
        <v>38</v>
      </c>
      <c r="B39" s="10" t="s">
        <v>147</v>
      </c>
      <c r="C39" s="10" t="s">
        <v>90</v>
      </c>
      <c r="D39" s="10" t="s">
        <v>91</v>
      </c>
      <c r="E39" s="10" t="s">
        <v>92</v>
      </c>
      <c r="F39" s="10" t="s">
        <v>136</v>
      </c>
      <c r="G39" s="11" t="n">
        <v>385</v>
      </c>
      <c r="H39" s="11"/>
      <c r="I39" s="11"/>
      <c r="J39" s="11"/>
      <c r="K39" s="10" t="str">
        <f aca="false">IF(ISNUMBER(J39),IF(J39&lt;10,"ультра-НЧ",IF(J39&lt;100,"НЧ",IF(J39&lt;=1000,"СЧ","ВЧ"))),IF(ISNUMBER(I39),IF(I39&lt;10,"ультра-НЧ",IF(I39&lt;100,"НЧ",IF(I39&lt;=1000,"СЧ","ВЧ"))),"нет данных"))</f>
        <v>нет данных</v>
      </c>
      <c r="L39" s="12" t="str">
        <f aca="false">IF(AND(ISNUMBER(G39),G39&gt;0,ISNUMBER(I39)),I39/G39,"")</f>
        <v/>
      </c>
      <c r="M39" s="10" t="s">
        <v>105</v>
      </c>
      <c r="N39" s="10" t="s">
        <v>147</v>
      </c>
      <c r="O39" s="10" t="s">
        <v>107</v>
      </c>
    </row>
    <row r="40" customFormat="false" ht="15" hidden="false" customHeight="false" outlineLevel="0" collapsed="false">
      <c r="A40" s="10" t="n">
        <v>39</v>
      </c>
      <c r="B40" s="10" t="s">
        <v>148</v>
      </c>
      <c r="C40" s="10" t="s">
        <v>90</v>
      </c>
      <c r="D40" s="10" t="s">
        <v>91</v>
      </c>
      <c r="E40" s="10" t="s">
        <v>92</v>
      </c>
      <c r="F40" s="10" t="s">
        <v>136</v>
      </c>
      <c r="G40" s="11" t="n">
        <v>382</v>
      </c>
      <c r="H40" s="11"/>
      <c r="I40" s="11"/>
      <c r="J40" s="11"/>
      <c r="K40" s="10" t="str">
        <f aca="false">IF(ISNUMBER(J40),IF(J40&lt;10,"ультра-НЧ",IF(J40&lt;100,"НЧ",IF(J40&lt;=1000,"СЧ","ВЧ"))),IF(ISNUMBER(I40),IF(I40&lt;10,"ультра-НЧ",IF(I40&lt;100,"НЧ",IF(I40&lt;=1000,"СЧ","ВЧ"))),"нет данных"))</f>
        <v>нет данных</v>
      </c>
      <c r="L40" s="12" t="str">
        <f aca="false">IF(AND(ISNUMBER(G40),G40&gt;0,ISNUMBER(I40)),I40/G40,"")</f>
        <v/>
      </c>
      <c r="M40" s="10" t="s">
        <v>105</v>
      </c>
      <c r="N40" s="10" t="s">
        <v>148</v>
      </c>
      <c r="O40" s="10" t="s">
        <v>107</v>
      </c>
    </row>
    <row r="41" customFormat="false" ht="15" hidden="false" customHeight="false" outlineLevel="0" collapsed="false">
      <c r="A41" s="10" t="n">
        <v>40</v>
      </c>
      <c r="B41" s="10" t="s">
        <v>149</v>
      </c>
      <c r="C41" s="10" t="s">
        <v>90</v>
      </c>
      <c r="D41" s="10" t="s">
        <v>91</v>
      </c>
      <c r="E41" s="10" t="s">
        <v>92</v>
      </c>
      <c r="F41" s="10" t="s">
        <v>136</v>
      </c>
      <c r="G41" s="11" t="n">
        <v>376</v>
      </c>
      <c r="H41" s="11"/>
      <c r="I41" s="11"/>
      <c r="J41" s="11"/>
      <c r="K41" s="10" t="str">
        <f aca="false">IF(ISNUMBER(J41),IF(J41&lt;10,"ультра-НЧ",IF(J41&lt;100,"НЧ",IF(J41&lt;=1000,"СЧ","ВЧ"))),IF(ISNUMBER(I41),IF(I41&lt;10,"ультра-НЧ",IF(I41&lt;100,"НЧ",IF(I41&lt;=1000,"СЧ","ВЧ"))),"нет данных"))</f>
        <v>нет данных</v>
      </c>
      <c r="L41" s="12" t="str">
        <f aca="false">IF(AND(ISNUMBER(G41),G41&gt;0,ISNUMBER(I41)),I41/G41,"")</f>
        <v/>
      </c>
      <c r="M41" s="10" t="s">
        <v>103</v>
      </c>
      <c r="N41" s="10" t="s">
        <v>149</v>
      </c>
      <c r="O41" s="10"/>
    </row>
    <row r="42" customFormat="false" ht="15" hidden="false" customHeight="false" outlineLevel="0" collapsed="false">
      <c r="A42" s="10" t="n">
        <v>41</v>
      </c>
      <c r="B42" s="10" t="s">
        <v>150</v>
      </c>
      <c r="C42" s="10" t="s">
        <v>90</v>
      </c>
      <c r="D42" s="10" t="s">
        <v>91</v>
      </c>
      <c r="E42" s="10" t="s">
        <v>92</v>
      </c>
      <c r="F42" s="10" t="s">
        <v>136</v>
      </c>
      <c r="G42" s="11" t="n">
        <v>373</v>
      </c>
      <c r="H42" s="11"/>
      <c r="I42" s="11"/>
      <c r="J42" s="11"/>
      <c r="K42" s="10" t="str">
        <f aca="false">IF(ISNUMBER(J42),IF(J42&lt;10,"ультра-НЧ",IF(J42&lt;100,"НЧ",IF(J42&lt;=1000,"СЧ","ВЧ"))),IF(ISNUMBER(I42),IF(I42&lt;10,"ультра-НЧ",IF(I42&lt;100,"НЧ",IF(I42&lt;=1000,"СЧ","ВЧ"))),"нет данных"))</f>
        <v>нет данных</v>
      </c>
      <c r="L42" s="12" t="str">
        <f aca="false">IF(AND(ISNUMBER(G42),G42&gt;0,ISNUMBER(I42)),I42/G42,"")</f>
        <v/>
      </c>
      <c r="M42" s="10" t="s">
        <v>105</v>
      </c>
      <c r="N42" s="10" t="s">
        <v>150</v>
      </c>
      <c r="O42" s="10" t="s">
        <v>107</v>
      </c>
    </row>
    <row r="43" customFormat="false" ht="15" hidden="false" customHeight="false" outlineLevel="0" collapsed="false">
      <c r="A43" s="10" t="n">
        <v>42</v>
      </c>
      <c r="B43" s="10" t="s">
        <v>151</v>
      </c>
      <c r="C43" s="10" t="s">
        <v>90</v>
      </c>
      <c r="D43" s="10" t="s">
        <v>91</v>
      </c>
      <c r="E43" s="10" t="s">
        <v>92</v>
      </c>
      <c r="F43" s="10" t="s">
        <v>136</v>
      </c>
      <c r="G43" s="11" t="n">
        <v>371</v>
      </c>
      <c r="H43" s="11"/>
      <c r="I43" s="11"/>
      <c r="J43" s="11"/>
      <c r="K43" s="10" t="str">
        <f aca="false">IF(ISNUMBER(J43),IF(J43&lt;10,"ультра-НЧ",IF(J43&lt;100,"НЧ",IF(J43&lt;=1000,"СЧ","ВЧ"))),IF(ISNUMBER(I43),IF(I43&lt;10,"ультра-НЧ",IF(I43&lt;100,"НЧ",IF(I43&lt;=1000,"СЧ","ВЧ"))),"нет данных"))</f>
        <v>нет данных</v>
      </c>
      <c r="L43" s="12" t="str">
        <f aca="false">IF(AND(ISNUMBER(G43),G43&gt;0,ISNUMBER(I43)),I43/G43,"")</f>
        <v/>
      </c>
      <c r="M43" s="10" t="s">
        <v>105</v>
      </c>
      <c r="N43" s="10" t="s">
        <v>151</v>
      </c>
      <c r="O43" s="10" t="s">
        <v>107</v>
      </c>
    </row>
    <row r="44" customFormat="false" ht="15" hidden="false" customHeight="false" outlineLevel="0" collapsed="false">
      <c r="A44" s="10" t="n">
        <v>43</v>
      </c>
      <c r="B44" s="10" t="s">
        <v>152</v>
      </c>
      <c r="C44" s="10" t="s">
        <v>90</v>
      </c>
      <c r="D44" s="10" t="s">
        <v>91</v>
      </c>
      <c r="E44" s="10" t="s">
        <v>92</v>
      </c>
      <c r="F44" s="10" t="s">
        <v>136</v>
      </c>
      <c r="G44" s="11" t="n">
        <v>367</v>
      </c>
      <c r="H44" s="11"/>
      <c r="I44" s="11"/>
      <c r="J44" s="11"/>
      <c r="K44" s="10" t="str">
        <f aca="false">IF(ISNUMBER(J44),IF(J44&lt;10,"ультра-НЧ",IF(J44&lt;100,"НЧ",IF(J44&lt;=1000,"СЧ","ВЧ"))),IF(ISNUMBER(I44),IF(I44&lt;10,"ультра-НЧ",IF(I44&lt;100,"НЧ",IF(I44&lt;=1000,"СЧ","ВЧ"))),"нет данных"))</f>
        <v>нет данных</v>
      </c>
      <c r="L44" s="12" t="str">
        <f aca="false">IF(AND(ISNUMBER(G44),G44&gt;0,ISNUMBER(I44)),I44/G44,"")</f>
        <v/>
      </c>
      <c r="M44" s="10" t="s">
        <v>105</v>
      </c>
      <c r="N44" s="10" t="s">
        <v>152</v>
      </c>
      <c r="O44" s="10" t="s">
        <v>107</v>
      </c>
    </row>
    <row r="45" customFormat="false" ht="15" hidden="false" customHeight="false" outlineLevel="0" collapsed="false">
      <c r="A45" s="10" t="n">
        <v>44</v>
      </c>
      <c r="B45" s="10" t="s">
        <v>153</v>
      </c>
      <c r="C45" s="10" t="s">
        <v>90</v>
      </c>
      <c r="D45" s="10" t="s">
        <v>91</v>
      </c>
      <c r="E45" s="10" t="s">
        <v>92</v>
      </c>
      <c r="F45" s="10" t="s">
        <v>136</v>
      </c>
      <c r="G45" s="11" t="n">
        <v>348</v>
      </c>
      <c r="H45" s="11"/>
      <c r="I45" s="11"/>
      <c r="J45" s="11"/>
      <c r="K45" s="10" t="str">
        <f aca="false">IF(ISNUMBER(J45),IF(J45&lt;10,"ультра-НЧ",IF(J45&lt;100,"НЧ",IF(J45&lt;=1000,"СЧ","ВЧ"))),IF(ISNUMBER(I45),IF(I45&lt;10,"ультра-НЧ",IF(I45&lt;100,"НЧ",IF(I45&lt;=1000,"СЧ","ВЧ"))),"нет данных"))</f>
        <v>нет данных</v>
      </c>
      <c r="L45" s="12" t="str">
        <f aca="false">IF(AND(ISNUMBER(G45),G45&gt;0,ISNUMBER(I45)),I45/G45,"")</f>
        <v/>
      </c>
      <c r="M45" s="10" t="s">
        <v>105</v>
      </c>
      <c r="N45" s="10" t="s">
        <v>153</v>
      </c>
      <c r="O45" s="10" t="s">
        <v>107</v>
      </c>
    </row>
    <row r="46" customFormat="false" ht="15" hidden="false" customHeight="false" outlineLevel="0" collapsed="false">
      <c r="A46" s="10" t="n">
        <v>45</v>
      </c>
      <c r="B46" s="10" t="s">
        <v>154</v>
      </c>
      <c r="C46" s="10" t="s">
        <v>90</v>
      </c>
      <c r="D46" s="10" t="s">
        <v>91</v>
      </c>
      <c r="E46" s="10" t="s">
        <v>92</v>
      </c>
      <c r="F46" s="10" t="s">
        <v>136</v>
      </c>
      <c r="G46" s="11" t="n">
        <v>336</v>
      </c>
      <c r="H46" s="11"/>
      <c r="I46" s="11"/>
      <c r="J46" s="11"/>
      <c r="K46" s="10" t="str">
        <f aca="false">IF(ISNUMBER(J46),IF(J46&lt;10,"ультра-НЧ",IF(J46&lt;100,"НЧ",IF(J46&lt;=1000,"СЧ","ВЧ"))),IF(ISNUMBER(I46),IF(I46&lt;10,"ультра-НЧ",IF(I46&lt;100,"НЧ",IF(I46&lt;=1000,"СЧ","ВЧ"))),"нет данных"))</f>
        <v>нет данных</v>
      </c>
      <c r="L46" s="12" t="str">
        <f aca="false">IF(AND(ISNUMBER(G46),G46&gt;0,ISNUMBER(I46)),I46/G46,"")</f>
        <v/>
      </c>
      <c r="M46" s="10" t="s">
        <v>105</v>
      </c>
      <c r="N46" s="10" t="s">
        <v>154</v>
      </c>
      <c r="O46" s="10" t="s">
        <v>107</v>
      </c>
    </row>
    <row r="47" customFormat="false" ht="15" hidden="false" customHeight="false" outlineLevel="0" collapsed="false">
      <c r="A47" s="10" t="n">
        <v>46</v>
      </c>
      <c r="B47" s="10" t="s">
        <v>155</v>
      </c>
      <c r="C47" s="10" t="s">
        <v>90</v>
      </c>
      <c r="D47" s="10" t="s">
        <v>91</v>
      </c>
      <c r="E47" s="10" t="s">
        <v>92</v>
      </c>
      <c r="F47" s="10" t="s">
        <v>136</v>
      </c>
      <c r="G47" s="11" t="n">
        <v>335</v>
      </c>
      <c r="H47" s="11"/>
      <c r="I47" s="11"/>
      <c r="J47" s="11"/>
      <c r="K47" s="10" t="str">
        <f aca="false">IF(ISNUMBER(J47),IF(J47&lt;10,"ультра-НЧ",IF(J47&lt;100,"НЧ",IF(J47&lt;=1000,"СЧ","ВЧ"))),IF(ISNUMBER(I47),IF(I47&lt;10,"ультра-НЧ",IF(I47&lt;100,"НЧ",IF(I47&lt;=1000,"СЧ","ВЧ"))),"нет данных"))</f>
        <v>нет данных</v>
      </c>
      <c r="L47" s="12" t="str">
        <f aca="false">IF(AND(ISNUMBER(G47),G47&gt;0,ISNUMBER(I47)),I47/G47,"")</f>
        <v/>
      </c>
      <c r="M47" s="10" t="s">
        <v>105</v>
      </c>
      <c r="N47" s="10" t="s">
        <v>155</v>
      </c>
      <c r="O47" s="10" t="s">
        <v>107</v>
      </c>
    </row>
    <row r="48" customFormat="false" ht="15" hidden="false" customHeight="false" outlineLevel="0" collapsed="false">
      <c r="A48" s="10" t="n">
        <v>47</v>
      </c>
      <c r="B48" s="10" t="s">
        <v>156</v>
      </c>
      <c r="C48" s="10" t="s">
        <v>90</v>
      </c>
      <c r="D48" s="10" t="s">
        <v>91</v>
      </c>
      <c r="E48" s="10" t="s">
        <v>92</v>
      </c>
      <c r="F48" s="10" t="s">
        <v>136</v>
      </c>
      <c r="G48" s="11" t="n">
        <v>334</v>
      </c>
      <c r="H48" s="11"/>
      <c r="I48" s="11"/>
      <c r="J48" s="11"/>
      <c r="K48" s="10" t="str">
        <f aca="false">IF(ISNUMBER(J48),IF(J48&lt;10,"ультра-НЧ",IF(J48&lt;100,"НЧ",IF(J48&lt;=1000,"СЧ","ВЧ"))),IF(ISNUMBER(I48),IF(I48&lt;10,"ультра-НЧ",IF(I48&lt;100,"НЧ",IF(I48&lt;=1000,"СЧ","ВЧ"))),"нет данных"))</f>
        <v>нет данных</v>
      </c>
      <c r="L48" s="12" t="str">
        <f aca="false">IF(AND(ISNUMBER(G48),G48&gt;0,ISNUMBER(I48)),I48/G48,"")</f>
        <v/>
      </c>
      <c r="M48" s="10" t="s">
        <v>105</v>
      </c>
      <c r="N48" s="10" t="s">
        <v>156</v>
      </c>
      <c r="O48" s="10" t="s">
        <v>107</v>
      </c>
    </row>
    <row r="49" customFormat="false" ht="15" hidden="false" customHeight="false" outlineLevel="0" collapsed="false">
      <c r="A49" s="10" t="n">
        <v>48</v>
      </c>
      <c r="B49" s="10" t="s">
        <v>157</v>
      </c>
      <c r="C49" s="10" t="s">
        <v>90</v>
      </c>
      <c r="D49" s="10" t="s">
        <v>91</v>
      </c>
      <c r="E49" s="10" t="s">
        <v>92</v>
      </c>
      <c r="F49" s="10" t="s">
        <v>136</v>
      </c>
      <c r="G49" s="11" t="n">
        <v>323</v>
      </c>
      <c r="H49" s="11"/>
      <c r="I49" s="11"/>
      <c r="J49" s="11"/>
      <c r="K49" s="10" t="str">
        <f aca="false">IF(ISNUMBER(J49),IF(J49&lt;10,"ультра-НЧ",IF(J49&lt;100,"НЧ",IF(J49&lt;=1000,"СЧ","ВЧ"))),IF(ISNUMBER(I49),IF(I49&lt;10,"ультра-НЧ",IF(I49&lt;100,"НЧ",IF(I49&lt;=1000,"СЧ","ВЧ"))),"нет данных"))</f>
        <v>нет данных</v>
      </c>
      <c r="L49" s="12" t="str">
        <f aca="false">IF(AND(ISNUMBER(G49),G49&gt;0,ISNUMBER(I49)),I49/G49,"")</f>
        <v/>
      </c>
      <c r="M49" s="10" t="s">
        <v>105</v>
      </c>
      <c r="N49" s="10" t="s">
        <v>157</v>
      </c>
      <c r="O49" s="10" t="s">
        <v>107</v>
      </c>
    </row>
    <row r="50" customFormat="false" ht="15" hidden="false" customHeight="false" outlineLevel="0" collapsed="false">
      <c r="A50" s="10" t="n">
        <v>49</v>
      </c>
      <c r="B50" s="10" t="s">
        <v>158</v>
      </c>
      <c r="C50" s="10" t="s">
        <v>90</v>
      </c>
      <c r="D50" s="10" t="s">
        <v>91</v>
      </c>
      <c r="E50" s="10" t="s">
        <v>92</v>
      </c>
      <c r="F50" s="10" t="s">
        <v>136</v>
      </c>
      <c r="G50" s="11" t="n">
        <v>321</v>
      </c>
      <c r="H50" s="11"/>
      <c r="I50" s="11"/>
      <c r="J50" s="11"/>
      <c r="K50" s="10" t="str">
        <f aca="false">IF(ISNUMBER(J50),IF(J50&lt;10,"ультра-НЧ",IF(J50&lt;100,"НЧ",IF(J50&lt;=1000,"СЧ","ВЧ"))),IF(ISNUMBER(I50),IF(I50&lt;10,"ультра-НЧ",IF(I50&lt;100,"НЧ",IF(I50&lt;=1000,"СЧ","ВЧ"))),"нет данных"))</f>
        <v>нет данных</v>
      </c>
      <c r="L50" s="12" t="str">
        <f aca="false">IF(AND(ISNUMBER(G50),G50&gt;0,ISNUMBER(I50)),I50/G50,"")</f>
        <v/>
      </c>
      <c r="M50" s="10" t="s">
        <v>105</v>
      </c>
      <c r="N50" s="10" t="s">
        <v>158</v>
      </c>
      <c r="O50" s="10" t="s">
        <v>107</v>
      </c>
    </row>
    <row r="51" customFormat="false" ht="15" hidden="false" customHeight="false" outlineLevel="0" collapsed="false">
      <c r="A51" s="10" t="n">
        <v>50</v>
      </c>
      <c r="B51" s="10" t="s">
        <v>159</v>
      </c>
      <c r="C51" s="10" t="s">
        <v>90</v>
      </c>
      <c r="D51" s="10" t="s">
        <v>91</v>
      </c>
      <c r="E51" s="10" t="s">
        <v>92</v>
      </c>
      <c r="F51" s="10" t="s">
        <v>136</v>
      </c>
      <c r="G51" s="11" t="n">
        <v>306</v>
      </c>
      <c r="H51" s="11"/>
      <c r="I51" s="11"/>
      <c r="J51" s="11"/>
      <c r="K51" s="10" t="str">
        <f aca="false">IF(ISNUMBER(J51),IF(J51&lt;10,"ультра-НЧ",IF(J51&lt;100,"НЧ",IF(J51&lt;=1000,"СЧ","ВЧ"))),IF(ISNUMBER(I51),IF(I51&lt;10,"ультра-НЧ",IF(I51&lt;100,"НЧ",IF(I51&lt;=1000,"СЧ","ВЧ"))),"нет данных"))</f>
        <v>нет данных</v>
      </c>
      <c r="L51" s="12" t="str">
        <f aca="false">IF(AND(ISNUMBER(G51),G51&gt;0,ISNUMBER(I51)),I51/G51,"")</f>
        <v/>
      </c>
      <c r="M51" s="10" t="s">
        <v>105</v>
      </c>
      <c r="N51" s="10" t="s">
        <v>159</v>
      </c>
      <c r="O51" s="10" t="s">
        <v>107</v>
      </c>
    </row>
    <row r="52" customFormat="false" ht="15" hidden="false" customHeight="false" outlineLevel="0" collapsed="false">
      <c r="A52" s="10" t="n">
        <v>51</v>
      </c>
      <c r="B52" s="10" t="s">
        <v>160</v>
      </c>
      <c r="C52" s="10" t="s">
        <v>90</v>
      </c>
      <c r="D52" s="10" t="s">
        <v>91</v>
      </c>
      <c r="E52" s="10" t="s">
        <v>92</v>
      </c>
      <c r="F52" s="10" t="s">
        <v>136</v>
      </c>
      <c r="G52" s="11" t="n">
        <v>299</v>
      </c>
      <c r="H52" s="11"/>
      <c r="I52" s="11"/>
      <c r="J52" s="11"/>
      <c r="K52" s="10" t="str">
        <f aca="false">IF(ISNUMBER(J52),IF(J52&lt;10,"ультра-НЧ",IF(J52&lt;100,"НЧ",IF(J52&lt;=1000,"СЧ","ВЧ"))),IF(ISNUMBER(I52),IF(I52&lt;10,"ультра-НЧ",IF(I52&lt;100,"НЧ",IF(I52&lt;=1000,"СЧ","ВЧ"))),"нет данных"))</f>
        <v>нет данных</v>
      </c>
      <c r="L52" s="12" t="str">
        <f aca="false">IF(AND(ISNUMBER(G52),G52&gt;0,ISNUMBER(I52)),I52/G52,"")</f>
        <v/>
      </c>
      <c r="M52" s="10" t="s">
        <v>105</v>
      </c>
      <c r="N52" s="10" t="s">
        <v>160</v>
      </c>
      <c r="O52" s="10" t="s">
        <v>107</v>
      </c>
    </row>
    <row r="53" customFormat="false" ht="15" hidden="false" customHeight="false" outlineLevel="0" collapsed="false">
      <c r="A53" s="10" t="n">
        <v>52</v>
      </c>
      <c r="B53" s="10" t="s">
        <v>161</v>
      </c>
      <c r="C53" s="10" t="s">
        <v>90</v>
      </c>
      <c r="D53" s="10" t="s">
        <v>91</v>
      </c>
      <c r="E53" s="10" t="s">
        <v>92</v>
      </c>
      <c r="F53" s="10" t="s">
        <v>136</v>
      </c>
      <c r="G53" s="11" t="n">
        <v>299</v>
      </c>
      <c r="H53" s="11"/>
      <c r="I53" s="11"/>
      <c r="J53" s="11"/>
      <c r="K53" s="10" t="str">
        <f aca="false">IF(ISNUMBER(J53),IF(J53&lt;10,"ультра-НЧ",IF(J53&lt;100,"НЧ",IF(J53&lt;=1000,"СЧ","ВЧ"))),IF(ISNUMBER(I53),IF(I53&lt;10,"ультра-НЧ",IF(I53&lt;100,"НЧ",IF(I53&lt;=1000,"СЧ","ВЧ"))),"нет данных"))</f>
        <v>нет данных</v>
      </c>
      <c r="L53" s="12" t="str">
        <f aca="false">IF(AND(ISNUMBER(G53),G53&gt;0,ISNUMBER(I53)),I53/G53,"")</f>
        <v/>
      </c>
      <c r="M53" s="10" t="s">
        <v>105</v>
      </c>
      <c r="N53" s="10" t="s">
        <v>161</v>
      </c>
      <c r="O53" s="10" t="s">
        <v>107</v>
      </c>
    </row>
    <row r="54" customFormat="false" ht="15" hidden="false" customHeight="false" outlineLevel="0" collapsed="false">
      <c r="A54" s="10" t="n">
        <v>53</v>
      </c>
      <c r="B54" s="10" t="s">
        <v>162</v>
      </c>
      <c r="C54" s="10" t="s">
        <v>90</v>
      </c>
      <c r="D54" s="10" t="s">
        <v>91</v>
      </c>
      <c r="E54" s="10" t="s">
        <v>92</v>
      </c>
      <c r="F54" s="10" t="s">
        <v>136</v>
      </c>
      <c r="G54" s="11" t="n">
        <v>294</v>
      </c>
      <c r="H54" s="11"/>
      <c r="I54" s="11"/>
      <c r="J54" s="11"/>
      <c r="K54" s="10" t="str">
        <f aca="false">IF(ISNUMBER(J54),IF(J54&lt;10,"ультра-НЧ",IF(J54&lt;100,"НЧ",IF(J54&lt;=1000,"СЧ","ВЧ"))),IF(ISNUMBER(I54),IF(I54&lt;10,"ультра-НЧ",IF(I54&lt;100,"НЧ",IF(I54&lt;=1000,"СЧ","ВЧ"))),"нет данных"))</f>
        <v>нет данных</v>
      </c>
      <c r="L54" s="12" t="str">
        <f aca="false">IF(AND(ISNUMBER(G54),G54&gt;0,ISNUMBER(I54)),I54/G54,"")</f>
        <v/>
      </c>
      <c r="M54" s="10" t="s">
        <v>105</v>
      </c>
      <c r="N54" s="10" t="s">
        <v>163</v>
      </c>
      <c r="O54" s="10" t="s">
        <v>107</v>
      </c>
    </row>
    <row r="55" customFormat="false" ht="15" hidden="false" customHeight="false" outlineLevel="0" collapsed="false">
      <c r="A55" s="10" t="n">
        <v>54</v>
      </c>
      <c r="B55" s="10" t="s">
        <v>164</v>
      </c>
      <c r="C55" s="10" t="s">
        <v>90</v>
      </c>
      <c r="D55" s="10" t="s">
        <v>91</v>
      </c>
      <c r="E55" s="10" t="s">
        <v>92</v>
      </c>
      <c r="F55" s="10" t="s">
        <v>136</v>
      </c>
      <c r="G55" s="11" t="n">
        <v>293</v>
      </c>
      <c r="H55" s="11"/>
      <c r="I55" s="11"/>
      <c r="J55" s="11"/>
      <c r="K55" s="10" t="str">
        <f aca="false">IF(ISNUMBER(J55),IF(J55&lt;10,"ультра-НЧ",IF(J55&lt;100,"НЧ",IF(J55&lt;=1000,"СЧ","ВЧ"))),IF(ISNUMBER(I55),IF(I55&lt;10,"ультра-НЧ",IF(I55&lt;100,"НЧ",IF(I55&lt;=1000,"СЧ","ВЧ"))),"нет данных"))</f>
        <v>нет данных</v>
      </c>
      <c r="L55" s="12" t="str">
        <f aca="false">IF(AND(ISNUMBER(G55),G55&gt;0,ISNUMBER(I55)),I55/G55,"")</f>
        <v/>
      </c>
      <c r="M55" s="10" t="s">
        <v>105</v>
      </c>
      <c r="N55" s="10" t="s">
        <v>164</v>
      </c>
      <c r="O55" s="10" t="s">
        <v>107</v>
      </c>
    </row>
    <row r="56" customFormat="false" ht="15" hidden="false" customHeight="false" outlineLevel="0" collapsed="false">
      <c r="A56" s="10" t="n">
        <v>55</v>
      </c>
      <c r="B56" s="10" t="s">
        <v>165</v>
      </c>
      <c r="C56" s="10" t="s">
        <v>90</v>
      </c>
      <c r="D56" s="10" t="s">
        <v>91</v>
      </c>
      <c r="E56" s="10" t="s">
        <v>92</v>
      </c>
      <c r="F56" s="10" t="s">
        <v>136</v>
      </c>
      <c r="G56" s="11" t="n">
        <v>288</v>
      </c>
      <c r="H56" s="11"/>
      <c r="I56" s="11"/>
      <c r="J56" s="11"/>
      <c r="K56" s="10" t="str">
        <f aca="false">IF(ISNUMBER(J56),IF(J56&lt;10,"ультра-НЧ",IF(J56&lt;100,"НЧ",IF(J56&lt;=1000,"СЧ","ВЧ"))),IF(ISNUMBER(I56),IF(I56&lt;10,"ультра-НЧ",IF(I56&lt;100,"НЧ",IF(I56&lt;=1000,"СЧ","ВЧ"))),"нет данных"))</f>
        <v>нет данных</v>
      </c>
      <c r="L56" s="12" t="str">
        <f aca="false">IF(AND(ISNUMBER(G56),G56&gt;0,ISNUMBER(I56)),I56/G56,"")</f>
        <v/>
      </c>
      <c r="M56" s="10" t="s">
        <v>105</v>
      </c>
      <c r="N56" s="10" t="s">
        <v>165</v>
      </c>
      <c r="O56" s="10" t="s">
        <v>107</v>
      </c>
    </row>
    <row r="57" customFormat="false" ht="15" hidden="false" customHeight="false" outlineLevel="0" collapsed="false">
      <c r="A57" s="10" t="n">
        <v>56</v>
      </c>
      <c r="B57" s="10" t="s">
        <v>166</v>
      </c>
      <c r="C57" s="10" t="s">
        <v>90</v>
      </c>
      <c r="D57" s="10" t="s">
        <v>91</v>
      </c>
      <c r="E57" s="10" t="s">
        <v>92</v>
      </c>
      <c r="F57" s="10" t="s">
        <v>136</v>
      </c>
      <c r="G57" s="11" t="n">
        <v>281</v>
      </c>
      <c r="H57" s="11"/>
      <c r="I57" s="11"/>
      <c r="J57" s="11"/>
      <c r="K57" s="10" t="str">
        <f aca="false">IF(ISNUMBER(J57),IF(J57&lt;10,"ультра-НЧ",IF(J57&lt;100,"НЧ",IF(J57&lt;=1000,"СЧ","ВЧ"))),IF(ISNUMBER(I57),IF(I57&lt;10,"ультра-НЧ",IF(I57&lt;100,"НЧ",IF(I57&lt;=1000,"СЧ","ВЧ"))),"нет данных"))</f>
        <v>нет данных</v>
      </c>
      <c r="L57" s="12" t="str">
        <f aca="false">IF(AND(ISNUMBER(G57),G57&gt;0,ISNUMBER(I57)),I57/G57,"")</f>
        <v/>
      </c>
      <c r="M57" s="10" t="s">
        <v>105</v>
      </c>
      <c r="N57" s="10" t="s">
        <v>166</v>
      </c>
      <c r="O57" s="10" t="s">
        <v>107</v>
      </c>
    </row>
    <row r="58" customFormat="false" ht="15" hidden="false" customHeight="false" outlineLevel="0" collapsed="false">
      <c r="A58" s="10" t="n">
        <v>57</v>
      </c>
      <c r="B58" s="10" t="s">
        <v>167</v>
      </c>
      <c r="C58" s="10" t="s">
        <v>90</v>
      </c>
      <c r="D58" s="10" t="s">
        <v>91</v>
      </c>
      <c r="E58" s="10" t="s">
        <v>92</v>
      </c>
      <c r="F58" s="10" t="s">
        <v>136</v>
      </c>
      <c r="G58" s="11" t="n">
        <v>273</v>
      </c>
      <c r="H58" s="11"/>
      <c r="I58" s="11"/>
      <c r="J58" s="11"/>
      <c r="K58" s="10" t="str">
        <f aca="false">IF(ISNUMBER(J58),IF(J58&lt;10,"ультра-НЧ",IF(J58&lt;100,"НЧ",IF(J58&lt;=1000,"СЧ","ВЧ"))),IF(ISNUMBER(I58),IF(I58&lt;10,"ультра-НЧ",IF(I58&lt;100,"НЧ",IF(I58&lt;=1000,"СЧ","ВЧ"))),"нет данных"))</f>
        <v>нет данных</v>
      </c>
      <c r="L58" s="12" t="str">
        <f aca="false">IF(AND(ISNUMBER(G58),G58&gt;0,ISNUMBER(I58)),I58/G58,"")</f>
        <v/>
      </c>
      <c r="M58" s="10" t="s">
        <v>112</v>
      </c>
      <c r="N58" s="10" t="s">
        <v>167</v>
      </c>
      <c r="O58" s="10"/>
    </row>
    <row r="59" customFormat="false" ht="15" hidden="false" customHeight="false" outlineLevel="0" collapsed="false">
      <c r="A59" s="10" t="n">
        <v>58</v>
      </c>
      <c r="B59" s="10" t="s">
        <v>168</v>
      </c>
      <c r="C59" s="10" t="s">
        <v>90</v>
      </c>
      <c r="D59" s="10" t="s">
        <v>91</v>
      </c>
      <c r="E59" s="10" t="s">
        <v>92</v>
      </c>
      <c r="F59" s="10" t="s">
        <v>136</v>
      </c>
      <c r="G59" s="11" t="n">
        <v>271</v>
      </c>
      <c r="H59" s="11"/>
      <c r="I59" s="11"/>
      <c r="J59" s="11"/>
      <c r="K59" s="10" t="str">
        <f aca="false">IF(ISNUMBER(J59),IF(J59&lt;10,"ультра-НЧ",IF(J59&lt;100,"НЧ",IF(J59&lt;=1000,"СЧ","ВЧ"))),IF(ISNUMBER(I59),IF(I59&lt;10,"ультра-НЧ",IF(I59&lt;100,"НЧ",IF(I59&lt;=1000,"СЧ","ВЧ"))),"нет данных"))</f>
        <v>нет данных</v>
      </c>
      <c r="L59" s="12" t="str">
        <f aca="false">IF(AND(ISNUMBER(G59),G59&gt;0,ISNUMBER(I59)),I59/G59,"")</f>
        <v/>
      </c>
      <c r="M59" s="10" t="s">
        <v>105</v>
      </c>
      <c r="N59" s="10" t="s">
        <v>168</v>
      </c>
      <c r="O59" s="10" t="s">
        <v>107</v>
      </c>
    </row>
    <row r="60" customFormat="false" ht="15" hidden="false" customHeight="false" outlineLevel="0" collapsed="false">
      <c r="A60" s="10" t="n">
        <v>59</v>
      </c>
      <c r="B60" s="10" t="s">
        <v>169</v>
      </c>
      <c r="C60" s="10" t="s">
        <v>90</v>
      </c>
      <c r="D60" s="10" t="s">
        <v>91</v>
      </c>
      <c r="E60" s="10" t="s">
        <v>92</v>
      </c>
      <c r="F60" s="10" t="s">
        <v>136</v>
      </c>
      <c r="G60" s="11" t="n">
        <v>263</v>
      </c>
      <c r="H60" s="11"/>
      <c r="I60" s="11"/>
      <c r="J60" s="11"/>
      <c r="K60" s="10" t="str">
        <f aca="false">IF(ISNUMBER(J60),IF(J60&lt;10,"ультра-НЧ",IF(J60&lt;100,"НЧ",IF(J60&lt;=1000,"СЧ","ВЧ"))),IF(ISNUMBER(I60),IF(I60&lt;10,"ультра-НЧ",IF(I60&lt;100,"НЧ",IF(I60&lt;=1000,"СЧ","ВЧ"))),"нет данных"))</f>
        <v>нет данных</v>
      </c>
      <c r="L60" s="12" t="str">
        <f aca="false">IF(AND(ISNUMBER(G60),G60&gt;0,ISNUMBER(I60)),I60/G60,"")</f>
        <v/>
      </c>
      <c r="M60" s="10" t="s">
        <v>105</v>
      </c>
      <c r="N60" s="10" t="s">
        <v>169</v>
      </c>
      <c r="O60" s="10" t="s">
        <v>107</v>
      </c>
    </row>
    <row r="61" customFormat="false" ht="15" hidden="false" customHeight="false" outlineLevel="0" collapsed="false">
      <c r="A61" s="10" t="n">
        <v>60</v>
      </c>
      <c r="B61" s="10" t="s">
        <v>170</v>
      </c>
      <c r="C61" s="10" t="s">
        <v>90</v>
      </c>
      <c r="D61" s="10" t="s">
        <v>91</v>
      </c>
      <c r="E61" s="10" t="s">
        <v>92</v>
      </c>
      <c r="F61" s="10" t="s">
        <v>136</v>
      </c>
      <c r="G61" s="11" t="n">
        <v>260</v>
      </c>
      <c r="H61" s="11"/>
      <c r="I61" s="11"/>
      <c r="J61" s="11"/>
      <c r="K61" s="10" t="str">
        <f aca="false">IF(ISNUMBER(J61),IF(J61&lt;10,"ультра-НЧ",IF(J61&lt;100,"НЧ",IF(J61&lt;=1000,"СЧ","ВЧ"))),IF(ISNUMBER(I61),IF(I61&lt;10,"ультра-НЧ",IF(I61&lt;100,"НЧ",IF(I61&lt;=1000,"СЧ","ВЧ"))),"нет данных"))</f>
        <v>нет данных</v>
      </c>
      <c r="L61" s="12" t="str">
        <f aca="false">IF(AND(ISNUMBER(G61),G61&gt;0,ISNUMBER(I61)),I61/G61,"")</f>
        <v/>
      </c>
      <c r="M61" s="10" t="s">
        <v>105</v>
      </c>
      <c r="N61" s="10" t="s">
        <v>170</v>
      </c>
      <c r="O61" s="10" t="s">
        <v>107</v>
      </c>
    </row>
    <row r="62" customFormat="false" ht="15" hidden="false" customHeight="false" outlineLevel="0" collapsed="false">
      <c r="A62" s="10" t="n">
        <v>61</v>
      </c>
      <c r="B62" s="10" t="s">
        <v>171</v>
      </c>
      <c r="C62" s="10" t="s">
        <v>90</v>
      </c>
      <c r="D62" s="10" t="s">
        <v>91</v>
      </c>
      <c r="E62" s="10" t="s">
        <v>92</v>
      </c>
      <c r="F62" s="10" t="s">
        <v>136</v>
      </c>
      <c r="G62" s="11" t="n">
        <v>255</v>
      </c>
      <c r="H62" s="11"/>
      <c r="I62" s="11"/>
      <c r="J62" s="11"/>
      <c r="K62" s="10" t="str">
        <f aca="false">IF(ISNUMBER(J62),IF(J62&lt;10,"ультра-НЧ",IF(J62&lt;100,"НЧ",IF(J62&lt;=1000,"СЧ","ВЧ"))),IF(ISNUMBER(I62),IF(I62&lt;10,"ультра-НЧ",IF(I62&lt;100,"НЧ",IF(I62&lt;=1000,"СЧ","ВЧ"))),"нет данных"))</f>
        <v>нет данных</v>
      </c>
      <c r="L62" s="12" t="str">
        <f aca="false">IF(AND(ISNUMBER(G62),G62&gt;0,ISNUMBER(I62)),I62/G62,"")</f>
        <v/>
      </c>
      <c r="M62" s="10" t="s">
        <v>105</v>
      </c>
      <c r="N62" s="10" t="s">
        <v>171</v>
      </c>
      <c r="O62" s="10" t="s">
        <v>107</v>
      </c>
    </row>
    <row r="63" customFormat="false" ht="15" hidden="false" customHeight="false" outlineLevel="0" collapsed="false">
      <c r="A63" s="10" t="n">
        <v>62</v>
      </c>
      <c r="B63" s="10" t="s">
        <v>172</v>
      </c>
      <c r="C63" s="10" t="s">
        <v>90</v>
      </c>
      <c r="D63" s="10" t="s">
        <v>91</v>
      </c>
      <c r="E63" s="10" t="s">
        <v>92</v>
      </c>
      <c r="F63" s="10" t="s">
        <v>136</v>
      </c>
      <c r="G63" s="11" t="n">
        <v>251</v>
      </c>
      <c r="H63" s="11"/>
      <c r="I63" s="11"/>
      <c r="J63" s="11"/>
      <c r="K63" s="10" t="str">
        <f aca="false">IF(ISNUMBER(J63),IF(J63&lt;10,"ультра-НЧ",IF(J63&lt;100,"НЧ",IF(J63&lt;=1000,"СЧ","ВЧ"))),IF(ISNUMBER(I63),IF(I63&lt;10,"ультра-НЧ",IF(I63&lt;100,"НЧ",IF(I63&lt;=1000,"СЧ","ВЧ"))),"нет данных"))</f>
        <v>нет данных</v>
      </c>
      <c r="L63" s="12" t="str">
        <f aca="false">IF(AND(ISNUMBER(G63),G63&gt;0,ISNUMBER(I63)),I63/G63,"")</f>
        <v/>
      </c>
      <c r="M63" s="10" t="s">
        <v>105</v>
      </c>
      <c r="N63" s="10" t="s">
        <v>172</v>
      </c>
      <c r="O63" s="10" t="s">
        <v>107</v>
      </c>
    </row>
    <row r="64" customFormat="false" ht="15" hidden="false" customHeight="false" outlineLevel="0" collapsed="false">
      <c r="A64" s="10" t="n">
        <v>63</v>
      </c>
      <c r="B64" s="10" t="s">
        <v>173</v>
      </c>
      <c r="C64" s="10" t="s">
        <v>90</v>
      </c>
      <c r="D64" s="10" t="s">
        <v>91</v>
      </c>
      <c r="E64" s="10" t="s">
        <v>92</v>
      </c>
      <c r="F64" s="10" t="s">
        <v>136</v>
      </c>
      <c r="G64" s="11" t="n">
        <v>249</v>
      </c>
      <c r="H64" s="11"/>
      <c r="I64" s="11"/>
      <c r="J64" s="11"/>
      <c r="K64" s="10" t="str">
        <f aca="false">IF(ISNUMBER(J64),IF(J64&lt;10,"ультра-НЧ",IF(J64&lt;100,"НЧ",IF(J64&lt;=1000,"СЧ","ВЧ"))),IF(ISNUMBER(I64),IF(I64&lt;10,"ультра-НЧ",IF(I64&lt;100,"НЧ",IF(I64&lt;=1000,"СЧ","ВЧ"))),"нет данных"))</f>
        <v>нет данных</v>
      </c>
      <c r="L64" s="12" t="str">
        <f aca="false">IF(AND(ISNUMBER(G64),G64&gt;0,ISNUMBER(I64)),I64/G64,"")</f>
        <v/>
      </c>
      <c r="M64" s="10" t="s">
        <v>105</v>
      </c>
      <c r="N64" s="10" t="s">
        <v>173</v>
      </c>
      <c r="O64" s="10" t="s">
        <v>107</v>
      </c>
    </row>
    <row r="65" customFormat="false" ht="15" hidden="false" customHeight="false" outlineLevel="0" collapsed="false">
      <c r="A65" s="10" t="n">
        <v>64</v>
      </c>
      <c r="B65" s="10" t="s">
        <v>174</v>
      </c>
      <c r="C65" s="10" t="s">
        <v>90</v>
      </c>
      <c r="D65" s="10" t="s">
        <v>91</v>
      </c>
      <c r="E65" s="10" t="s">
        <v>92</v>
      </c>
      <c r="F65" s="10" t="s">
        <v>136</v>
      </c>
      <c r="G65" s="11" t="n">
        <v>238</v>
      </c>
      <c r="H65" s="11"/>
      <c r="I65" s="11"/>
      <c r="J65" s="11"/>
      <c r="K65" s="10" t="str">
        <f aca="false">IF(ISNUMBER(J65),IF(J65&lt;10,"ультра-НЧ",IF(J65&lt;100,"НЧ",IF(J65&lt;=1000,"СЧ","ВЧ"))),IF(ISNUMBER(I65),IF(I65&lt;10,"ультра-НЧ",IF(I65&lt;100,"НЧ",IF(I65&lt;=1000,"СЧ","ВЧ"))),"нет данных"))</f>
        <v>нет данных</v>
      </c>
      <c r="L65" s="12" t="str">
        <f aca="false">IF(AND(ISNUMBER(G65),G65&gt;0,ISNUMBER(I65)),I65/G65,"")</f>
        <v/>
      </c>
      <c r="M65" s="10" t="s">
        <v>105</v>
      </c>
      <c r="N65" s="10" t="s">
        <v>174</v>
      </c>
      <c r="O65" s="10" t="s">
        <v>107</v>
      </c>
    </row>
    <row r="66" customFormat="false" ht="15" hidden="false" customHeight="false" outlineLevel="0" collapsed="false">
      <c r="A66" s="10" t="n">
        <v>65</v>
      </c>
      <c r="B66" s="10" t="s">
        <v>175</v>
      </c>
      <c r="C66" s="10" t="s">
        <v>90</v>
      </c>
      <c r="D66" s="10" t="s">
        <v>91</v>
      </c>
      <c r="E66" s="10" t="s">
        <v>92</v>
      </c>
      <c r="F66" s="10" t="s">
        <v>136</v>
      </c>
      <c r="G66" s="11" t="n">
        <v>235</v>
      </c>
      <c r="H66" s="11"/>
      <c r="I66" s="11"/>
      <c r="J66" s="11"/>
      <c r="K66" s="10" t="str">
        <f aca="false">IF(ISNUMBER(J66),IF(J66&lt;10,"ультра-НЧ",IF(J66&lt;100,"НЧ",IF(J66&lt;=1000,"СЧ","ВЧ"))),IF(ISNUMBER(I66),IF(I66&lt;10,"ультра-НЧ",IF(I66&lt;100,"НЧ",IF(I66&lt;=1000,"СЧ","ВЧ"))),"нет данных"))</f>
        <v>нет данных</v>
      </c>
      <c r="L66" s="12" t="str">
        <f aca="false">IF(AND(ISNUMBER(G66),G66&gt;0,ISNUMBER(I66)),I66/G66,"")</f>
        <v/>
      </c>
      <c r="M66" s="10" t="s">
        <v>105</v>
      </c>
      <c r="N66" s="10" t="s">
        <v>175</v>
      </c>
      <c r="O66" s="10" t="s">
        <v>107</v>
      </c>
    </row>
    <row r="67" customFormat="false" ht="15" hidden="false" customHeight="false" outlineLevel="0" collapsed="false">
      <c r="A67" s="10" t="n">
        <v>66</v>
      </c>
      <c r="B67" s="10" t="s">
        <v>176</v>
      </c>
      <c r="C67" s="10" t="s">
        <v>90</v>
      </c>
      <c r="D67" s="10" t="s">
        <v>91</v>
      </c>
      <c r="E67" s="10" t="s">
        <v>92</v>
      </c>
      <c r="F67" s="10" t="s">
        <v>136</v>
      </c>
      <c r="G67" s="11" t="n">
        <v>233</v>
      </c>
      <c r="H67" s="11"/>
      <c r="I67" s="11"/>
      <c r="J67" s="11"/>
      <c r="K67" s="10" t="str">
        <f aca="false">IF(ISNUMBER(J67),IF(J67&lt;10,"ультра-НЧ",IF(J67&lt;100,"НЧ",IF(J67&lt;=1000,"СЧ","ВЧ"))),IF(ISNUMBER(I67),IF(I67&lt;10,"ультра-НЧ",IF(I67&lt;100,"НЧ",IF(I67&lt;=1000,"СЧ","ВЧ"))),"нет данных"))</f>
        <v>нет данных</v>
      </c>
      <c r="L67" s="12" t="str">
        <f aca="false">IF(AND(ISNUMBER(G67),G67&gt;0,ISNUMBER(I67)),I67/G67,"")</f>
        <v/>
      </c>
      <c r="M67" s="10" t="s">
        <v>105</v>
      </c>
      <c r="N67" s="10" t="s">
        <v>176</v>
      </c>
      <c r="O67" s="10" t="s">
        <v>107</v>
      </c>
    </row>
    <row r="68" customFormat="false" ht="15" hidden="false" customHeight="false" outlineLevel="0" collapsed="false">
      <c r="A68" s="10" t="n">
        <v>67</v>
      </c>
      <c r="B68" s="10" t="s">
        <v>177</v>
      </c>
      <c r="C68" s="10" t="s">
        <v>90</v>
      </c>
      <c r="D68" s="10" t="s">
        <v>91</v>
      </c>
      <c r="E68" s="10" t="s">
        <v>92</v>
      </c>
      <c r="F68" s="10" t="s">
        <v>136</v>
      </c>
      <c r="G68" s="11" t="n">
        <v>232</v>
      </c>
      <c r="H68" s="11"/>
      <c r="I68" s="11"/>
      <c r="J68" s="11"/>
      <c r="K68" s="10" t="str">
        <f aca="false">IF(ISNUMBER(J68),IF(J68&lt;10,"ультра-НЧ",IF(J68&lt;100,"НЧ",IF(J68&lt;=1000,"СЧ","ВЧ"))),IF(ISNUMBER(I68),IF(I68&lt;10,"ультра-НЧ",IF(I68&lt;100,"НЧ",IF(I68&lt;=1000,"СЧ","ВЧ"))),"нет данных"))</f>
        <v>нет данных</v>
      </c>
      <c r="L68" s="12" t="str">
        <f aca="false">IF(AND(ISNUMBER(G68),G68&gt;0,ISNUMBER(I68)),I68/G68,"")</f>
        <v/>
      </c>
      <c r="M68" s="10" t="s">
        <v>105</v>
      </c>
      <c r="N68" s="10" t="s">
        <v>177</v>
      </c>
      <c r="O68" s="10" t="s">
        <v>107</v>
      </c>
    </row>
    <row r="69" customFormat="false" ht="15" hidden="false" customHeight="false" outlineLevel="0" collapsed="false">
      <c r="A69" s="10" t="n">
        <v>68</v>
      </c>
      <c r="B69" s="10" t="s">
        <v>178</v>
      </c>
      <c r="C69" s="10" t="s">
        <v>90</v>
      </c>
      <c r="D69" s="10" t="s">
        <v>91</v>
      </c>
      <c r="E69" s="10" t="s">
        <v>92</v>
      </c>
      <c r="F69" s="10" t="s">
        <v>136</v>
      </c>
      <c r="G69" s="11" t="n">
        <v>224</v>
      </c>
      <c r="H69" s="11"/>
      <c r="I69" s="11"/>
      <c r="J69" s="11"/>
      <c r="K69" s="10" t="str">
        <f aca="false">IF(ISNUMBER(J69),IF(J69&lt;10,"ультра-НЧ",IF(J69&lt;100,"НЧ",IF(J69&lt;=1000,"СЧ","ВЧ"))),IF(ISNUMBER(I69),IF(I69&lt;10,"ультра-НЧ",IF(I69&lt;100,"НЧ",IF(I69&lt;=1000,"СЧ","ВЧ"))),"нет данных"))</f>
        <v>нет данных</v>
      </c>
      <c r="L69" s="12" t="str">
        <f aca="false">IF(AND(ISNUMBER(G69),G69&gt;0,ISNUMBER(I69)),I69/G69,"")</f>
        <v/>
      </c>
      <c r="M69" s="10" t="s">
        <v>105</v>
      </c>
      <c r="N69" s="10" t="s">
        <v>178</v>
      </c>
      <c r="O69" s="10" t="s">
        <v>107</v>
      </c>
    </row>
    <row r="70" customFormat="false" ht="15" hidden="false" customHeight="false" outlineLevel="0" collapsed="false">
      <c r="A70" s="10" t="n">
        <v>69</v>
      </c>
      <c r="B70" s="10" t="s">
        <v>179</v>
      </c>
      <c r="C70" s="10" t="s">
        <v>90</v>
      </c>
      <c r="D70" s="10" t="s">
        <v>91</v>
      </c>
      <c r="E70" s="10" t="s">
        <v>92</v>
      </c>
      <c r="F70" s="10" t="s">
        <v>136</v>
      </c>
      <c r="G70" s="11" t="n">
        <v>216</v>
      </c>
      <c r="H70" s="11"/>
      <c r="I70" s="11"/>
      <c r="J70" s="11"/>
      <c r="K70" s="10" t="str">
        <f aca="false">IF(ISNUMBER(J70),IF(J70&lt;10,"ультра-НЧ",IF(J70&lt;100,"НЧ",IF(J70&lt;=1000,"СЧ","ВЧ"))),IF(ISNUMBER(I70),IF(I70&lt;10,"ультра-НЧ",IF(I70&lt;100,"НЧ",IF(I70&lt;=1000,"СЧ","ВЧ"))),"нет данных"))</f>
        <v>нет данных</v>
      </c>
      <c r="L70" s="12" t="str">
        <f aca="false">IF(AND(ISNUMBER(G70),G70&gt;0,ISNUMBER(I70)),I70/G70,"")</f>
        <v/>
      </c>
      <c r="M70" s="10" t="s">
        <v>112</v>
      </c>
      <c r="N70" s="10" t="s">
        <v>179</v>
      </c>
      <c r="O70" s="10"/>
    </row>
    <row r="71" customFormat="false" ht="15" hidden="false" customHeight="false" outlineLevel="0" collapsed="false">
      <c r="A71" s="10" t="n">
        <v>70</v>
      </c>
      <c r="B71" s="10" t="s">
        <v>180</v>
      </c>
      <c r="C71" s="10" t="s">
        <v>90</v>
      </c>
      <c r="D71" s="10" t="s">
        <v>91</v>
      </c>
      <c r="E71" s="10" t="s">
        <v>92</v>
      </c>
      <c r="F71" s="10" t="s">
        <v>136</v>
      </c>
      <c r="G71" s="11" t="n">
        <v>215</v>
      </c>
      <c r="H71" s="11"/>
      <c r="I71" s="11"/>
      <c r="J71" s="11"/>
      <c r="K71" s="10" t="str">
        <f aca="false">IF(ISNUMBER(J71),IF(J71&lt;10,"ультра-НЧ",IF(J71&lt;100,"НЧ",IF(J71&lt;=1000,"СЧ","ВЧ"))),IF(ISNUMBER(I71),IF(I71&lt;10,"ультра-НЧ",IF(I71&lt;100,"НЧ",IF(I71&lt;=1000,"СЧ","ВЧ"))),"нет данных"))</f>
        <v>нет данных</v>
      </c>
      <c r="L71" s="12" t="str">
        <f aca="false">IF(AND(ISNUMBER(G71),G71&gt;0,ISNUMBER(I71)),I71/G71,"")</f>
        <v/>
      </c>
      <c r="M71" s="10" t="s">
        <v>112</v>
      </c>
      <c r="N71" s="10" t="s">
        <v>180</v>
      </c>
      <c r="O71" s="10"/>
    </row>
    <row r="72" customFormat="false" ht="15" hidden="false" customHeight="false" outlineLevel="0" collapsed="false">
      <c r="A72" s="10" t="n">
        <v>71</v>
      </c>
      <c r="B72" s="10" t="s">
        <v>181</v>
      </c>
      <c r="C72" s="10" t="s">
        <v>90</v>
      </c>
      <c r="D72" s="10" t="s">
        <v>91</v>
      </c>
      <c r="E72" s="10" t="s">
        <v>92</v>
      </c>
      <c r="F72" s="10" t="s">
        <v>136</v>
      </c>
      <c r="G72" s="11" t="n">
        <v>212</v>
      </c>
      <c r="H72" s="11"/>
      <c r="I72" s="11"/>
      <c r="J72" s="11"/>
      <c r="K72" s="10" t="str">
        <f aca="false">IF(ISNUMBER(J72),IF(J72&lt;10,"ультра-НЧ",IF(J72&lt;100,"НЧ",IF(J72&lt;=1000,"СЧ","ВЧ"))),IF(ISNUMBER(I72),IF(I72&lt;10,"ультра-НЧ",IF(I72&lt;100,"НЧ",IF(I72&lt;=1000,"СЧ","ВЧ"))),"нет данных"))</f>
        <v>нет данных</v>
      </c>
      <c r="L72" s="12" t="str">
        <f aca="false">IF(AND(ISNUMBER(G72),G72&gt;0,ISNUMBER(I72)),I72/G72,"")</f>
        <v/>
      </c>
      <c r="M72" s="10" t="s">
        <v>112</v>
      </c>
      <c r="N72" s="10" t="s">
        <v>181</v>
      </c>
      <c r="O72" s="10"/>
    </row>
    <row r="73" customFormat="false" ht="15" hidden="false" customHeight="false" outlineLevel="0" collapsed="false">
      <c r="A73" s="10" t="n">
        <v>72</v>
      </c>
      <c r="B73" s="10" t="s">
        <v>182</v>
      </c>
      <c r="C73" s="10" t="s">
        <v>90</v>
      </c>
      <c r="D73" s="10" t="s">
        <v>91</v>
      </c>
      <c r="E73" s="10" t="s">
        <v>92</v>
      </c>
      <c r="F73" s="10" t="s">
        <v>136</v>
      </c>
      <c r="G73" s="11" t="n">
        <v>212</v>
      </c>
      <c r="H73" s="11"/>
      <c r="I73" s="11"/>
      <c r="J73" s="11"/>
      <c r="K73" s="10" t="str">
        <f aca="false">IF(ISNUMBER(J73),IF(J73&lt;10,"ультра-НЧ",IF(J73&lt;100,"НЧ",IF(J73&lt;=1000,"СЧ","ВЧ"))),IF(ISNUMBER(I73),IF(I73&lt;10,"ультра-НЧ",IF(I73&lt;100,"НЧ",IF(I73&lt;=1000,"СЧ","ВЧ"))),"нет данных"))</f>
        <v>нет данных</v>
      </c>
      <c r="L73" s="12" t="str">
        <f aca="false">IF(AND(ISNUMBER(G73),G73&gt;0,ISNUMBER(I73)),I73/G73,"")</f>
        <v/>
      </c>
      <c r="M73" s="10" t="s">
        <v>105</v>
      </c>
      <c r="N73" s="10" t="s">
        <v>183</v>
      </c>
      <c r="O73" s="10" t="s">
        <v>107</v>
      </c>
    </row>
    <row r="74" customFormat="false" ht="15" hidden="false" customHeight="false" outlineLevel="0" collapsed="false">
      <c r="A74" s="10" t="n">
        <v>73</v>
      </c>
      <c r="B74" s="10" t="s">
        <v>184</v>
      </c>
      <c r="C74" s="10" t="s">
        <v>90</v>
      </c>
      <c r="D74" s="10" t="s">
        <v>91</v>
      </c>
      <c r="E74" s="10" t="s">
        <v>92</v>
      </c>
      <c r="F74" s="10" t="s">
        <v>136</v>
      </c>
      <c r="G74" s="11" t="n">
        <v>211</v>
      </c>
      <c r="H74" s="11"/>
      <c r="I74" s="11"/>
      <c r="J74" s="11"/>
      <c r="K74" s="10" t="str">
        <f aca="false">IF(ISNUMBER(J74),IF(J74&lt;10,"ультра-НЧ",IF(J74&lt;100,"НЧ",IF(J74&lt;=1000,"СЧ","ВЧ"))),IF(ISNUMBER(I74),IF(I74&lt;10,"ультра-НЧ",IF(I74&lt;100,"НЧ",IF(I74&lt;=1000,"СЧ","ВЧ"))),"нет данных"))</f>
        <v>нет данных</v>
      </c>
      <c r="L74" s="12" t="str">
        <f aca="false">IF(AND(ISNUMBER(G74),G74&gt;0,ISNUMBER(I74)),I74/G74,"")</f>
        <v/>
      </c>
      <c r="M74" s="10" t="s">
        <v>105</v>
      </c>
      <c r="N74" s="10" t="s">
        <v>184</v>
      </c>
      <c r="O74" s="10" t="s">
        <v>107</v>
      </c>
    </row>
    <row r="75" customFormat="false" ht="15" hidden="false" customHeight="false" outlineLevel="0" collapsed="false">
      <c r="A75" s="10" t="n">
        <v>74</v>
      </c>
      <c r="B75" s="10" t="s">
        <v>185</v>
      </c>
      <c r="C75" s="10" t="s">
        <v>90</v>
      </c>
      <c r="D75" s="10" t="s">
        <v>91</v>
      </c>
      <c r="E75" s="10" t="s">
        <v>92</v>
      </c>
      <c r="F75" s="10" t="s">
        <v>136</v>
      </c>
      <c r="G75" s="11" t="n">
        <v>211</v>
      </c>
      <c r="H75" s="11"/>
      <c r="I75" s="11"/>
      <c r="J75" s="11"/>
      <c r="K75" s="10" t="str">
        <f aca="false">IF(ISNUMBER(J75),IF(J75&lt;10,"ультра-НЧ",IF(J75&lt;100,"НЧ",IF(J75&lt;=1000,"СЧ","ВЧ"))),IF(ISNUMBER(I75),IF(I75&lt;10,"ультра-НЧ",IF(I75&lt;100,"НЧ",IF(I75&lt;=1000,"СЧ","ВЧ"))),"нет данных"))</f>
        <v>нет данных</v>
      </c>
      <c r="L75" s="12" t="str">
        <f aca="false">IF(AND(ISNUMBER(G75),G75&gt;0,ISNUMBER(I75)),I75/G75,"")</f>
        <v/>
      </c>
      <c r="M75" s="10" t="s">
        <v>105</v>
      </c>
      <c r="N75" s="10" t="s">
        <v>185</v>
      </c>
      <c r="O75" s="10" t="s">
        <v>107</v>
      </c>
    </row>
    <row r="76" customFormat="false" ht="15" hidden="false" customHeight="false" outlineLevel="0" collapsed="false">
      <c r="A76" s="10" t="n">
        <v>75</v>
      </c>
      <c r="B76" s="10" t="s">
        <v>186</v>
      </c>
      <c r="C76" s="10" t="s">
        <v>90</v>
      </c>
      <c r="D76" s="10" t="s">
        <v>91</v>
      </c>
      <c r="E76" s="10" t="s">
        <v>92</v>
      </c>
      <c r="F76" s="10" t="s">
        <v>136</v>
      </c>
      <c r="G76" s="11" t="n">
        <v>211</v>
      </c>
      <c r="H76" s="11"/>
      <c r="I76" s="11"/>
      <c r="J76" s="11"/>
      <c r="K76" s="10" t="str">
        <f aca="false">IF(ISNUMBER(J76),IF(J76&lt;10,"ультра-НЧ",IF(J76&lt;100,"НЧ",IF(J76&lt;=1000,"СЧ","ВЧ"))),IF(ISNUMBER(I76),IF(I76&lt;10,"ультра-НЧ",IF(I76&lt;100,"НЧ",IF(I76&lt;=1000,"СЧ","ВЧ"))),"нет данных"))</f>
        <v>нет данных</v>
      </c>
      <c r="L76" s="12" t="str">
        <f aca="false">IF(AND(ISNUMBER(G76),G76&gt;0,ISNUMBER(I76)),I76/G76,"")</f>
        <v/>
      </c>
      <c r="M76" s="10" t="s">
        <v>105</v>
      </c>
      <c r="N76" s="10" t="s">
        <v>186</v>
      </c>
      <c r="O76" s="10" t="s">
        <v>107</v>
      </c>
    </row>
    <row r="77" customFormat="false" ht="15" hidden="false" customHeight="false" outlineLevel="0" collapsed="false">
      <c r="A77" s="10" t="n">
        <v>76</v>
      </c>
      <c r="B77" s="10" t="s">
        <v>187</v>
      </c>
      <c r="C77" s="10" t="s">
        <v>90</v>
      </c>
      <c r="D77" s="10" t="s">
        <v>91</v>
      </c>
      <c r="E77" s="10" t="s">
        <v>92</v>
      </c>
      <c r="F77" s="10" t="s">
        <v>136</v>
      </c>
      <c r="G77" s="11" t="n">
        <v>209</v>
      </c>
      <c r="H77" s="11"/>
      <c r="I77" s="11"/>
      <c r="J77" s="11"/>
      <c r="K77" s="10" t="str">
        <f aca="false">IF(ISNUMBER(J77),IF(J77&lt;10,"ультра-НЧ",IF(J77&lt;100,"НЧ",IF(J77&lt;=1000,"СЧ","ВЧ"))),IF(ISNUMBER(I77),IF(I77&lt;10,"ультра-НЧ",IF(I77&lt;100,"НЧ",IF(I77&lt;=1000,"СЧ","ВЧ"))),"нет данных"))</f>
        <v>нет данных</v>
      </c>
      <c r="L77" s="12" t="str">
        <f aca="false">IF(AND(ISNUMBER(G77),G77&gt;0,ISNUMBER(I77)),I77/G77,"")</f>
        <v/>
      </c>
      <c r="M77" s="10" t="s">
        <v>105</v>
      </c>
      <c r="N77" s="10" t="s">
        <v>187</v>
      </c>
      <c r="O77" s="10" t="s">
        <v>107</v>
      </c>
    </row>
    <row r="78" customFormat="false" ht="15" hidden="false" customHeight="false" outlineLevel="0" collapsed="false">
      <c r="A78" s="10" t="n">
        <v>77</v>
      </c>
      <c r="B78" s="10" t="s">
        <v>188</v>
      </c>
      <c r="C78" s="10" t="s">
        <v>90</v>
      </c>
      <c r="D78" s="10" t="s">
        <v>91</v>
      </c>
      <c r="E78" s="10" t="s">
        <v>92</v>
      </c>
      <c r="F78" s="10" t="s">
        <v>136</v>
      </c>
      <c r="G78" s="11" t="n">
        <v>207</v>
      </c>
      <c r="H78" s="11"/>
      <c r="I78" s="11"/>
      <c r="J78" s="11"/>
      <c r="K78" s="10" t="str">
        <f aca="false">IF(ISNUMBER(J78),IF(J78&lt;10,"ультра-НЧ",IF(J78&lt;100,"НЧ",IF(J78&lt;=1000,"СЧ","ВЧ"))),IF(ISNUMBER(I78),IF(I78&lt;10,"ультра-НЧ",IF(I78&lt;100,"НЧ",IF(I78&lt;=1000,"СЧ","ВЧ"))),"нет данных"))</f>
        <v>нет данных</v>
      </c>
      <c r="L78" s="12" t="str">
        <f aca="false">IF(AND(ISNUMBER(G78),G78&gt;0,ISNUMBER(I78)),I78/G78,"")</f>
        <v/>
      </c>
      <c r="M78" s="10" t="s">
        <v>112</v>
      </c>
      <c r="N78" s="10" t="s">
        <v>188</v>
      </c>
      <c r="O78" s="10"/>
    </row>
    <row r="79" customFormat="false" ht="15" hidden="false" customHeight="false" outlineLevel="0" collapsed="false">
      <c r="A79" s="10" t="n">
        <v>78</v>
      </c>
      <c r="B79" s="10" t="s">
        <v>189</v>
      </c>
      <c r="C79" s="10" t="s">
        <v>90</v>
      </c>
      <c r="D79" s="10" t="s">
        <v>91</v>
      </c>
      <c r="E79" s="10" t="s">
        <v>92</v>
      </c>
      <c r="F79" s="10" t="s">
        <v>136</v>
      </c>
      <c r="G79" s="11" t="n">
        <v>203</v>
      </c>
      <c r="H79" s="11"/>
      <c r="I79" s="11"/>
      <c r="J79" s="11"/>
      <c r="K79" s="10" t="str">
        <f aca="false">IF(ISNUMBER(J79),IF(J79&lt;10,"ультра-НЧ",IF(J79&lt;100,"НЧ",IF(J79&lt;=1000,"СЧ","ВЧ"))),IF(ISNUMBER(I79),IF(I79&lt;10,"ультра-НЧ",IF(I79&lt;100,"НЧ",IF(I79&lt;=1000,"СЧ","ВЧ"))),"нет данных"))</f>
        <v>нет данных</v>
      </c>
      <c r="L79" s="12" t="str">
        <f aca="false">IF(AND(ISNUMBER(G79),G79&gt;0,ISNUMBER(I79)),I79/G79,"")</f>
        <v/>
      </c>
      <c r="M79" s="10" t="s">
        <v>105</v>
      </c>
      <c r="N79" s="10" t="s">
        <v>189</v>
      </c>
      <c r="O79" s="10" t="s">
        <v>107</v>
      </c>
    </row>
    <row r="80" customFormat="false" ht="15" hidden="false" customHeight="false" outlineLevel="0" collapsed="false">
      <c r="A80" s="10" t="n">
        <v>79</v>
      </c>
      <c r="B80" s="10" t="s">
        <v>190</v>
      </c>
      <c r="C80" s="10" t="s">
        <v>90</v>
      </c>
      <c r="D80" s="10" t="s">
        <v>91</v>
      </c>
      <c r="E80" s="10" t="s">
        <v>92</v>
      </c>
      <c r="F80" s="10" t="s">
        <v>136</v>
      </c>
      <c r="G80" s="11" t="n">
        <v>202</v>
      </c>
      <c r="H80" s="11"/>
      <c r="I80" s="11"/>
      <c r="J80" s="11"/>
      <c r="K80" s="10" t="str">
        <f aca="false">IF(ISNUMBER(J80),IF(J80&lt;10,"ультра-НЧ",IF(J80&lt;100,"НЧ",IF(J80&lt;=1000,"СЧ","ВЧ"))),IF(ISNUMBER(I80),IF(I80&lt;10,"ультра-НЧ",IF(I80&lt;100,"НЧ",IF(I80&lt;=1000,"СЧ","ВЧ"))),"нет данных"))</f>
        <v>нет данных</v>
      </c>
      <c r="L80" s="12" t="str">
        <f aca="false">IF(AND(ISNUMBER(G80),G80&gt;0,ISNUMBER(I80)),I80/G80,"")</f>
        <v/>
      </c>
      <c r="M80" s="10" t="s">
        <v>105</v>
      </c>
      <c r="N80" s="10" t="s">
        <v>190</v>
      </c>
      <c r="O80" s="10" t="s">
        <v>107</v>
      </c>
    </row>
    <row r="81" customFormat="false" ht="15" hidden="false" customHeight="false" outlineLevel="0" collapsed="false">
      <c r="A81" s="10" t="n">
        <v>80</v>
      </c>
      <c r="B81" s="10" t="s">
        <v>191</v>
      </c>
      <c r="C81" s="10" t="s">
        <v>90</v>
      </c>
      <c r="D81" s="10" t="s">
        <v>91</v>
      </c>
      <c r="E81" s="10" t="s">
        <v>92</v>
      </c>
      <c r="F81" s="10" t="s">
        <v>136</v>
      </c>
      <c r="G81" s="11" t="n">
        <v>198</v>
      </c>
      <c r="H81" s="11"/>
      <c r="I81" s="11"/>
      <c r="J81" s="11"/>
      <c r="K81" s="10" t="str">
        <f aca="false">IF(ISNUMBER(J81),IF(J81&lt;10,"ультра-НЧ",IF(J81&lt;100,"НЧ",IF(J81&lt;=1000,"СЧ","ВЧ"))),IF(ISNUMBER(I81),IF(I81&lt;10,"ультра-НЧ",IF(I81&lt;100,"НЧ",IF(I81&lt;=1000,"СЧ","ВЧ"))),"нет данных"))</f>
        <v>нет данных</v>
      </c>
      <c r="L81" s="12" t="str">
        <f aca="false">IF(AND(ISNUMBER(G81),G81&gt;0,ISNUMBER(I81)),I81/G81,"")</f>
        <v/>
      </c>
      <c r="M81" s="10" t="s">
        <v>105</v>
      </c>
      <c r="N81" s="10" t="s">
        <v>191</v>
      </c>
      <c r="O81" s="10" t="s">
        <v>107</v>
      </c>
    </row>
    <row r="82" customFormat="false" ht="15" hidden="false" customHeight="false" outlineLevel="0" collapsed="false">
      <c r="A82" s="10" t="n">
        <v>81</v>
      </c>
      <c r="B82" s="10" t="s">
        <v>192</v>
      </c>
      <c r="C82" s="10" t="s">
        <v>90</v>
      </c>
      <c r="D82" s="10" t="s">
        <v>91</v>
      </c>
      <c r="E82" s="10" t="s">
        <v>92</v>
      </c>
      <c r="F82" s="10" t="s">
        <v>136</v>
      </c>
      <c r="G82" s="11" t="n">
        <v>196</v>
      </c>
      <c r="H82" s="11"/>
      <c r="I82" s="11"/>
      <c r="J82" s="11"/>
      <c r="K82" s="10" t="str">
        <f aca="false">IF(ISNUMBER(J82),IF(J82&lt;10,"ультра-НЧ",IF(J82&lt;100,"НЧ",IF(J82&lt;=1000,"СЧ","ВЧ"))),IF(ISNUMBER(I82),IF(I82&lt;10,"ультра-НЧ",IF(I82&lt;100,"НЧ",IF(I82&lt;=1000,"СЧ","ВЧ"))),"нет данных"))</f>
        <v>нет данных</v>
      </c>
      <c r="L82" s="12" t="str">
        <f aca="false">IF(AND(ISNUMBER(G82),G82&gt;0,ISNUMBER(I82)),I82/G82,"")</f>
        <v/>
      </c>
      <c r="M82" s="10" t="s">
        <v>105</v>
      </c>
      <c r="N82" s="10" t="s">
        <v>192</v>
      </c>
      <c r="O82" s="10" t="s">
        <v>107</v>
      </c>
    </row>
    <row r="83" customFormat="false" ht="15" hidden="false" customHeight="false" outlineLevel="0" collapsed="false">
      <c r="A83" s="10" t="n">
        <v>82</v>
      </c>
      <c r="B83" s="10" t="s">
        <v>193</v>
      </c>
      <c r="C83" s="10" t="s">
        <v>90</v>
      </c>
      <c r="D83" s="10" t="s">
        <v>91</v>
      </c>
      <c r="E83" s="10" t="s">
        <v>92</v>
      </c>
      <c r="F83" s="10" t="s">
        <v>136</v>
      </c>
      <c r="G83" s="11" t="n">
        <v>190</v>
      </c>
      <c r="H83" s="11"/>
      <c r="I83" s="11"/>
      <c r="J83" s="11"/>
      <c r="K83" s="10" t="str">
        <f aca="false">IF(ISNUMBER(J83),IF(J83&lt;10,"ультра-НЧ",IF(J83&lt;100,"НЧ",IF(J83&lt;=1000,"СЧ","ВЧ"))),IF(ISNUMBER(I83),IF(I83&lt;10,"ультра-НЧ",IF(I83&lt;100,"НЧ",IF(I83&lt;=1000,"СЧ","ВЧ"))),"нет данных"))</f>
        <v>нет данных</v>
      </c>
      <c r="L83" s="12" t="str">
        <f aca="false">IF(AND(ISNUMBER(G83),G83&gt;0,ISNUMBER(I83)),I83/G83,"")</f>
        <v/>
      </c>
      <c r="M83" s="10" t="s">
        <v>105</v>
      </c>
      <c r="N83" s="10" t="s">
        <v>193</v>
      </c>
      <c r="O83" s="10" t="s">
        <v>107</v>
      </c>
    </row>
    <row r="84" customFormat="false" ht="15" hidden="false" customHeight="false" outlineLevel="0" collapsed="false">
      <c r="A84" s="10" t="n">
        <v>83</v>
      </c>
      <c r="B84" s="10" t="s">
        <v>194</v>
      </c>
      <c r="C84" s="10" t="s">
        <v>90</v>
      </c>
      <c r="D84" s="10" t="s">
        <v>91</v>
      </c>
      <c r="E84" s="10" t="s">
        <v>92</v>
      </c>
      <c r="F84" s="10" t="s">
        <v>136</v>
      </c>
      <c r="G84" s="11" t="n">
        <v>185</v>
      </c>
      <c r="H84" s="11"/>
      <c r="I84" s="11"/>
      <c r="J84" s="11"/>
      <c r="K84" s="10" t="str">
        <f aca="false">IF(ISNUMBER(J84),IF(J84&lt;10,"ультра-НЧ",IF(J84&lt;100,"НЧ",IF(J84&lt;=1000,"СЧ","ВЧ"))),IF(ISNUMBER(I84),IF(I84&lt;10,"ультра-НЧ",IF(I84&lt;100,"НЧ",IF(I84&lt;=1000,"СЧ","ВЧ"))),"нет данных"))</f>
        <v>нет данных</v>
      </c>
      <c r="L84" s="12" t="str">
        <f aca="false">IF(AND(ISNUMBER(G84),G84&gt;0,ISNUMBER(I84)),I84/G84,"")</f>
        <v/>
      </c>
      <c r="M84" s="10" t="s">
        <v>105</v>
      </c>
      <c r="N84" s="10" t="s">
        <v>195</v>
      </c>
      <c r="O84" s="10" t="s">
        <v>107</v>
      </c>
    </row>
    <row r="85" customFormat="false" ht="15" hidden="false" customHeight="false" outlineLevel="0" collapsed="false">
      <c r="A85" s="10" t="n">
        <v>84</v>
      </c>
      <c r="B85" s="10" t="s">
        <v>196</v>
      </c>
      <c r="C85" s="10" t="s">
        <v>90</v>
      </c>
      <c r="D85" s="10" t="s">
        <v>91</v>
      </c>
      <c r="E85" s="10" t="s">
        <v>92</v>
      </c>
      <c r="F85" s="10" t="s">
        <v>136</v>
      </c>
      <c r="G85" s="11" t="n">
        <v>185</v>
      </c>
      <c r="H85" s="11"/>
      <c r="I85" s="11"/>
      <c r="J85" s="11"/>
      <c r="K85" s="10" t="str">
        <f aca="false">IF(ISNUMBER(J85),IF(J85&lt;10,"ультра-НЧ",IF(J85&lt;100,"НЧ",IF(J85&lt;=1000,"СЧ","ВЧ"))),IF(ISNUMBER(I85),IF(I85&lt;10,"ультра-НЧ",IF(I85&lt;100,"НЧ",IF(I85&lt;=1000,"СЧ","ВЧ"))),"нет данных"))</f>
        <v>нет данных</v>
      </c>
      <c r="L85" s="12" t="str">
        <f aca="false">IF(AND(ISNUMBER(G85),G85&gt;0,ISNUMBER(I85)),I85/G85,"")</f>
        <v/>
      </c>
      <c r="M85" s="10" t="s">
        <v>105</v>
      </c>
      <c r="N85" s="10" t="s">
        <v>196</v>
      </c>
      <c r="O85" s="10" t="s">
        <v>107</v>
      </c>
    </row>
    <row r="86" customFormat="false" ht="15" hidden="false" customHeight="false" outlineLevel="0" collapsed="false">
      <c r="A86" s="10" t="n">
        <v>85</v>
      </c>
      <c r="B86" s="10" t="s">
        <v>197</v>
      </c>
      <c r="C86" s="10" t="s">
        <v>90</v>
      </c>
      <c r="D86" s="10" t="s">
        <v>91</v>
      </c>
      <c r="E86" s="10" t="s">
        <v>92</v>
      </c>
      <c r="F86" s="10" t="s">
        <v>136</v>
      </c>
      <c r="G86" s="11" t="n">
        <v>181</v>
      </c>
      <c r="H86" s="11"/>
      <c r="I86" s="11"/>
      <c r="J86" s="11"/>
      <c r="K86" s="10" t="str">
        <f aca="false">IF(ISNUMBER(J86),IF(J86&lt;10,"ультра-НЧ",IF(J86&lt;100,"НЧ",IF(J86&lt;=1000,"СЧ","ВЧ"))),IF(ISNUMBER(I86),IF(I86&lt;10,"ультра-НЧ",IF(I86&lt;100,"НЧ",IF(I86&lt;=1000,"СЧ","ВЧ"))),"нет данных"))</f>
        <v>нет данных</v>
      </c>
      <c r="L86" s="12" t="str">
        <f aca="false">IF(AND(ISNUMBER(G86),G86&gt;0,ISNUMBER(I86)),I86/G86,"")</f>
        <v/>
      </c>
      <c r="M86" s="10" t="s">
        <v>105</v>
      </c>
      <c r="N86" s="10" t="s">
        <v>198</v>
      </c>
      <c r="O86" s="10" t="s">
        <v>107</v>
      </c>
    </row>
    <row r="87" customFormat="false" ht="15" hidden="false" customHeight="false" outlineLevel="0" collapsed="false">
      <c r="A87" s="10" t="n">
        <v>86</v>
      </c>
      <c r="B87" s="10" t="s">
        <v>199</v>
      </c>
      <c r="C87" s="10" t="s">
        <v>90</v>
      </c>
      <c r="D87" s="10" t="s">
        <v>91</v>
      </c>
      <c r="E87" s="10" t="s">
        <v>92</v>
      </c>
      <c r="F87" s="10" t="s">
        <v>136</v>
      </c>
      <c r="G87" s="11" t="n">
        <v>179</v>
      </c>
      <c r="H87" s="11"/>
      <c r="I87" s="11"/>
      <c r="J87" s="11"/>
      <c r="K87" s="10" t="str">
        <f aca="false">IF(ISNUMBER(J87),IF(J87&lt;10,"ультра-НЧ",IF(J87&lt;100,"НЧ",IF(J87&lt;=1000,"СЧ","ВЧ"))),IF(ISNUMBER(I87),IF(I87&lt;10,"ультра-НЧ",IF(I87&lt;100,"НЧ",IF(I87&lt;=1000,"СЧ","ВЧ"))),"нет данных"))</f>
        <v>нет данных</v>
      </c>
      <c r="L87" s="12" t="str">
        <f aca="false">IF(AND(ISNUMBER(G87),G87&gt;0,ISNUMBER(I87)),I87/G87,"")</f>
        <v/>
      </c>
      <c r="M87" s="10" t="s">
        <v>105</v>
      </c>
      <c r="N87" s="10" t="s">
        <v>200</v>
      </c>
      <c r="O87" s="10" t="s">
        <v>107</v>
      </c>
    </row>
    <row r="88" customFormat="false" ht="15" hidden="false" customHeight="false" outlineLevel="0" collapsed="false">
      <c r="A88" s="10" t="n">
        <v>87</v>
      </c>
      <c r="B88" s="10" t="s">
        <v>201</v>
      </c>
      <c r="C88" s="10" t="s">
        <v>90</v>
      </c>
      <c r="D88" s="10" t="s">
        <v>91</v>
      </c>
      <c r="E88" s="10" t="s">
        <v>92</v>
      </c>
      <c r="F88" s="10" t="s">
        <v>136</v>
      </c>
      <c r="G88" s="11" t="n">
        <v>177</v>
      </c>
      <c r="H88" s="11"/>
      <c r="I88" s="11"/>
      <c r="J88" s="11"/>
      <c r="K88" s="10" t="str">
        <f aca="false">IF(ISNUMBER(J88),IF(J88&lt;10,"ультра-НЧ",IF(J88&lt;100,"НЧ",IF(J88&lt;=1000,"СЧ","ВЧ"))),IF(ISNUMBER(I88),IF(I88&lt;10,"ультра-НЧ",IF(I88&lt;100,"НЧ",IF(I88&lt;=1000,"СЧ","ВЧ"))),"нет данных"))</f>
        <v>нет данных</v>
      </c>
      <c r="L88" s="12" t="str">
        <f aca="false">IF(AND(ISNUMBER(G88),G88&gt;0,ISNUMBER(I88)),I88/G88,"")</f>
        <v/>
      </c>
      <c r="M88" s="10" t="s">
        <v>105</v>
      </c>
      <c r="N88" s="10" t="s">
        <v>202</v>
      </c>
      <c r="O88" s="10" t="s">
        <v>107</v>
      </c>
    </row>
    <row r="89" customFormat="false" ht="15" hidden="false" customHeight="false" outlineLevel="0" collapsed="false">
      <c r="A89" s="10" t="n">
        <v>88</v>
      </c>
      <c r="B89" s="10" t="s">
        <v>203</v>
      </c>
      <c r="C89" s="10" t="s">
        <v>90</v>
      </c>
      <c r="D89" s="10" t="s">
        <v>91</v>
      </c>
      <c r="E89" s="10" t="s">
        <v>92</v>
      </c>
      <c r="F89" s="10" t="s">
        <v>136</v>
      </c>
      <c r="G89" s="11" t="n">
        <v>175</v>
      </c>
      <c r="H89" s="11"/>
      <c r="I89" s="11"/>
      <c r="J89" s="11"/>
      <c r="K89" s="10" t="str">
        <f aca="false">IF(ISNUMBER(J89),IF(J89&lt;10,"ультра-НЧ",IF(J89&lt;100,"НЧ",IF(J89&lt;=1000,"СЧ","ВЧ"))),IF(ISNUMBER(I89),IF(I89&lt;10,"ультра-НЧ",IF(I89&lt;100,"НЧ",IF(I89&lt;=1000,"СЧ","ВЧ"))),"нет данных"))</f>
        <v>нет данных</v>
      </c>
      <c r="L89" s="12" t="str">
        <f aca="false">IF(AND(ISNUMBER(G89),G89&gt;0,ISNUMBER(I89)),I89/G89,"")</f>
        <v/>
      </c>
      <c r="M89" s="10" t="s">
        <v>105</v>
      </c>
      <c r="N89" s="10" t="s">
        <v>203</v>
      </c>
      <c r="O89" s="10" t="s">
        <v>107</v>
      </c>
    </row>
    <row r="90" customFormat="false" ht="15" hidden="false" customHeight="false" outlineLevel="0" collapsed="false">
      <c r="A90" s="10" t="n">
        <v>89</v>
      </c>
      <c r="B90" s="10" t="s">
        <v>204</v>
      </c>
      <c r="C90" s="10" t="s">
        <v>90</v>
      </c>
      <c r="D90" s="10" t="s">
        <v>91</v>
      </c>
      <c r="E90" s="10" t="s">
        <v>92</v>
      </c>
      <c r="F90" s="10" t="s">
        <v>136</v>
      </c>
      <c r="G90" s="11" t="n">
        <v>171</v>
      </c>
      <c r="H90" s="11"/>
      <c r="I90" s="11"/>
      <c r="J90" s="11"/>
      <c r="K90" s="10" t="str">
        <f aca="false">IF(ISNUMBER(J90),IF(J90&lt;10,"ультра-НЧ",IF(J90&lt;100,"НЧ",IF(J90&lt;=1000,"СЧ","ВЧ"))),IF(ISNUMBER(I90),IF(I90&lt;10,"ультра-НЧ",IF(I90&lt;100,"НЧ",IF(I90&lt;=1000,"СЧ","ВЧ"))),"нет данных"))</f>
        <v>нет данных</v>
      </c>
      <c r="L90" s="12" t="str">
        <f aca="false">IF(AND(ISNUMBER(G90),G90&gt;0,ISNUMBER(I90)),I90/G90,"")</f>
        <v/>
      </c>
      <c r="M90" s="10" t="s">
        <v>105</v>
      </c>
      <c r="N90" s="10" t="s">
        <v>205</v>
      </c>
      <c r="O90" s="10" t="s">
        <v>107</v>
      </c>
    </row>
    <row r="91" customFormat="false" ht="15" hidden="false" customHeight="false" outlineLevel="0" collapsed="false">
      <c r="A91" s="10" t="n">
        <v>90</v>
      </c>
      <c r="B91" s="10" t="s">
        <v>206</v>
      </c>
      <c r="C91" s="10" t="s">
        <v>90</v>
      </c>
      <c r="D91" s="10" t="s">
        <v>91</v>
      </c>
      <c r="E91" s="10" t="s">
        <v>92</v>
      </c>
      <c r="F91" s="10" t="s">
        <v>136</v>
      </c>
      <c r="G91" s="11" t="n">
        <v>167</v>
      </c>
      <c r="H91" s="11"/>
      <c r="I91" s="11"/>
      <c r="J91" s="11"/>
      <c r="K91" s="10" t="str">
        <f aca="false">IF(ISNUMBER(J91),IF(J91&lt;10,"ультра-НЧ",IF(J91&lt;100,"НЧ",IF(J91&lt;=1000,"СЧ","ВЧ"))),IF(ISNUMBER(I91),IF(I91&lt;10,"ультра-НЧ",IF(I91&lt;100,"НЧ",IF(I91&lt;=1000,"СЧ","ВЧ"))),"нет данных"))</f>
        <v>нет данных</v>
      </c>
      <c r="L91" s="12" t="str">
        <f aca="false">IF(AND(ISNUMBER(G91),G91&gt;0,ISNUMBER(I91)),I91/G91,"")</f>
        <v/>
      </c>
      <c r="M91" s="10" t="s">
        <v>105</v>
      </c>
      <c r="N91" s="10" t="s">
        <v>206</v>
      </c>
      <c r="O91" s="10" t="s">
        <v>107</v>
      </c>
    </row>
    <row r="92" customFormat="false" ht="15" hidden="false" customHeight="false" outlineLevel="0" collapsed="false">
      <c r="A92" s="10" t="n">
        <v>91</v>
      </c>
      <c r="B92" s="10" t="s">
        <v>207</v>
      </c>
      <c r="C92" s="10" t="s">
        <v>90</v>
      </c>
      <c r="D92" s="10" t="s">
        <v>91</v>
      </c>
      <c r="E92" s="10" t="s">
        <v>92</v>
      </c>
      <c r="F92" s="10" t="s">
        <v>136</v>
      </c>
      <c r="G92" s="11" t="n">
        <v>166</v>
      </c>
      <c r="H92" s="11"/>
      <c r="I92" s="11"/>
      <c r="J92" s="11"/>
      <c r="K92" s="10" t="str">
        <f aca="false">IF(ISNUMBER(J92),IF(J92&lt;10,"ультра-НЧ",IF(J92&lt;100,"НЧ",IF(J92&lt;=1000,"СЧ","ВЧ"))),IF(ISNUMBER(I92),IF(I92&lt;10,"ультра-НЧ",IF(I92&lt;100,"НЧ",IF(I92&lt;=1000,"СЧ","ВЧ"))),"нет данных"))</f>
        <v>нет данных</v>
      </c>
      <c r="L92" s="12" t="str">
        <f aca="false">IF(AND(ISNUMBER(G92),G92&gt;0,ISNUMBER(I92)),I92/G92,"")</f>
        <v/>
      </c>
      <c r="M92" s="10" t="s">
        <v>105</v>
      </c>
      <c r="N92" s="10" t="s">
        <v>207</v>
      </c>
      <c r="O92" s="10" t="s">
        <v>107</v>
      </c>
    </row>
    <row r="93" customFormat="false" ht="15" hidden="false" customHeight="false" outlineLevel="0" collapsed="false">
      <c r="A93" s="10" t="n">
        <v>92</v>
      </c>
      <c r="B93" s="10" t="s">
        <v>208</v>
      </c>
      <c r="C93" s="10" t="s">
        <v>90</v>
      </c>
      <c r="D93" s="10" t="s">
        <v>91</v>
      </c>
      <c r="E93" s="10" t="s">
        <v>92</v>
      </c>
      <c r="F93" s="10" t="s">
        <v>136</v>
      </c>
      <c r="G93" s="11" t="n">
        <v>165</v>
      </c>
      <c r="H93" s="11"/>
      <c r="I93" s="11"/>
      <c r="J93" s="11"/>
      <c r="K93" s="10" t="str">
        <f aca="false">IF(ISNUMBER(J93),IF(J93&lt;10,"ультра-НЧ",IF(J93&lt;100,"НЧ",IF(J93&lt;=1000,"СЧ","ВЧ"))),IF(ISNUMBER(I93),IF(I93&lt;10,"ультра-НЧ",IF(I93&lt;100,"НЧ",IF(I93&lt;=1000,"СЧ","ВЧ"))),"нет данных"))</f>
        <v>нет данных</v>
      </c>
      <c r="L93" s="12" t="str">
        <f aca="false">IF(AND(ISNUMBER(G93),G93&gt;0,ISNUMBER(I93)),I93/G93,"")</f>
        <v/>
      </c>
      <c r="M93" s="10" t="s">
        <v>105</v>
      </c>
      <c r="N93" s="10" t="s">
        <v>208</v>
      </c>
      <c r="O93" s="10" t="s">
        <v>107</v>
      </c>
    </row>
    <row r="94" customFormat="false" ht="15" hidden="false" customHeight="false" outlineLevel="0" collapsed="false">
      <c r="A94" s="10" t="n">
        <v>93</v>
      </c>
      <c r="B94" s="10" t="s">
        <v>209</v>
      </c>
      <c r="C94" s="10" t="s">
        <v>90</v>
      </c>
      <c r="D94" s="10" t="s">
        <v>91</v>
      </c>
      <c r="E94" s="10" t="s">
        <v>92</v>
      </c>
      <c r="F94" s="10" t="s">
        <v>136</v>
      </c>
      <c r="G94" s="11" t="n">
        <v>162</v>
      </c>
      <c r="H94" s="11"/>
      <c r="I94" s="11"/>
      <c r="J94" s="11"/>
      <c r="K94" s="10" t="str">
        <f aca="false">IF(ISNUMBER(J94),IF(J94&lt;10,"ультра-НЧ",IF(J94&lt;100,"НЧ",IF(J94&lt;=1000,"СЧ","ВЧ"))),IF(ISNUMBER(I94),IF(I94&lt;10,"ультра-НЧ",IF(I94&lt;100,"НЧ",IF(I94&lt;=1000,"СЧ","ВЧ"))),"нет данных"))</f>
        <v>нет данных</v>
      </c>
      <c r="L94" s="12" t="str">
        <f aca="false">IF(AND(ISNUMBER(G94),G94&gt;0,ISNUMBER(I94)),I94/G94,"")</f>
        <v/>
      </c>
      <c r="M94" s="10" t="s">
        <v>112</v>
      </c>
      <c r="N94" s="10" t="s">
        <v>209</v>
      </c>
      <c r="O94" s="10"/>
    </row>
    <row r="95" customFormat="false" ht="15" hidden="false" customHeight="false" outlineLevel="0" collapsed="false">
      <c r="A95" s="10" t="n">
        <v>94</v>
      </c>
      <c r="B95" s="10" t="s">
        <v>210</v>
      </c>
      <c r="C95" s="10" t="s">
        <v>90</v>
      </c>
      <c r="D95" s="10" t="s">
        <v>91</v>
      </c>
      <c r="E95" s="10" t="s">
        <v>92</v>
      </c>
      <c r="F95" s="10" t="s">
        <v>136</v>
      </c>
      <c r="G95" s="11" t="n">
        <v>161</v>
      </c>
      <c r="H95" s="11"/>
      <c r="I95" s="11"/>
      <c r="J95" s="11"/>
      <c r="K95" s="10" t="str">
        <f aca="false">IF(ISNUMBER(J95),IF(J95&lt;10,"ультра-НЧ",IF(J95&lt;100,"НЧ",IF(J95&lt;=1000,"СЧ","ВЧ"))),IF(ISNUMBER(I95),IF(I95&lt;10,"ультра-НЧ",IF(I95&lt;100,"НЧ",IF(I95&lt;=1000,"СЧ","ВЧ"))),"нет данных"))</f>
        <v>нет данных</v>
      </c>
      <c r="L95" s="12" t="str">
        <f aca="false">IF(AND(ISNUMBER(G95),G95&gt;0,ISNUMBER(I95)),I95/G95,"")</f>
        <v/>
      </c>
      <c r="M95" s="10" t="s">
        <v>105</v>
      </c>
      <c r="N95" s="10" t="s">
        <v>210</v>
      </c>
      <c r="O95" s="10" t="s">
        <v>107</v>
      </c>
    </row>
    <row r="96" customFormat="false" ht="15" hidden="false" customHeight="false" outlineLevel="0" collapsed="false">
      <c r="A96" s="10" t="n">
        <v>95</v>
      </c>
      <c r="B96" s="10" t="s">
        <v>211</v>
      </c>
      <c r="C96" s="10" t="s">
        <v>90</v>
      </c>
      <c r="D96" s="10" t="s">
        <v>91</v>
      </c>
      <c r="E96" s="10" t="s">
        <v>92</v>
      </c>
      <c r="F96" s="10" t="s">
        <v>136</v>
      </c>
      <c r="G96" s="11" t="n">
        <v>161</v>
      </c>
      <c r="H96" s="11"/>
      <c r="I96" s="11"/>
      <c r="J96" s="11"/>
      <c r="K96" s="10" t="str">
        <f aca="false">IF(ISNUMBER(J96),IF(J96&lt;10,"ультра-НЧ",IF(J96&lt;100,"НЧ",IF(J96&lt;=1000,"СЧ","ВЧ"))),IF(ISNUMBER(I96),IF(I96&lt;10,"ультра-НЧ",IF(I96&lt;100,"НЧ",IF(I96&lt;=1000,"СЧ","ВЧ"))),"нет данных"))</f>
        <v>нет данных</v>
      </c>
      <c r="L96" s="12" t="str">
        <f aca="false">IF(AND(ISNUMBER(G96),G96&gt;0,ISNUMBER(I96)),I96/G96,"")</f>
        <v/>
      </c>
      <c r="M96" s="10" t="s">
        <v>105</v>
      </c>
      <c r="N96" s="10" t="s">
        <v>211</v>
      </c>
      <c r="O96" s="10" t="s">
        <v>107</v>
      </c>
    </row>
    <row r="97" customFormat="false" ht="15" hidden="false" customHeight="false" outlineLevel="0" collapsed="false">
      <c r="A97" s="10" t="n">
        <v>96</v>
      </c>
      <c r="B97" s="10" t="s">
        <v>212</v>
      </c>
      <c r="C97" s="10" t="s">
        <v>90</v>
      </c>
      <c r="D97" s="10" t="s">
        <v>91</v>
      </c>
      <c r="E97" s="10" t="s">
        <v>92</v>
      </c>
      <c r="F97" s="10" t="s">
        <v>136</v>
      </c>
      <c r="G97" s="11" t="n">
        <v>159</v>
      </c>
      <c r="H97" s="11"/>
      <c r="I97" s="11"/>
      <c r="J97" s="11"/>
      <c r="K97" s="10" t="str">
        <f aca="false">IF(ISNUMBER(J97),IF(J97&lt;10,"ультра-НЧ",IF(J97&lt;100,"НЧ",IF(J97&lt;=1000,"СЧ","ВЧ"))),IF(ISNUMBER(I97),IF(I97&lt;10,"ультра-НЧ",IF(I97&lt;100,"НЧ",IF(I97&lt;=1000,"СЧ","ВЧ"))),"нет данных"))</f>
        <v>нет данных</v>
      </c>
      <c r="L97" s="12" t="str">
        <f aca="false">IF(AND(ISNUMBER(G97),G97&gt;0,ISNUMBER(I97)),I97/G97,"")</f>
        <v/>
      </c>
      <c r="M97" s="10" t="s">
        <v>105</v>
      </c>
      <c r="N97" s="10" t="s">
        <v>212</v>
      </c>
      <c r="O97" s="10" t="s">
        <v>107</v>
      </c>
    </row>
    <row r="98" customFormat="false" ht="15" hidden="false" customHeight="false" outlineLevel="0" collapsed="false">
      <c r="A98" s="10" t="n">
        <v>97</v>
      </c>
      <c r="B98" s="10" t="s">
        <v>213</v>
      </c>
      <c r="C98" s="10" t="s">
        <v>90</v>
      </c>
      <c r="D98" s="10" t="s">
        <v>91</v>
      </c>
      <c r="E98" s="10" t="s">
        <v>92</v>
      </c>
      <c r="F98" s="10" t="s">
        <v>136</v>
      </c>
      <c r="G98" s="11" t="n">
        <v>156</v>
      </c>
      <c r="H98" s="11"/>
      <c r="I98" s="11"/>
      <c r="J98" s="11"/>
      <c r="K98" s="10" t="str">
        <f aca="false">IF(ISNUMBER(J98),IF(J98&lt;10,"ультра-НЧ",IF(J98&lt;100,"НЧ",IF(J98&lt;=1000,"СЧ","ВЧ"))),IF(ISNUMBER(I98),IF(I98&lt;10,"ультра-НЧ",IF(I98&lt;100,"НЧ",IF(I98&lt;=1000,"СЧ","ВЧ"))),"нет данных"))</f>
        <v>нет данных</v>
      </c>
      <c r="L98" s="12" t="str">
        <f aca="false">IF(AND(ISNUMBER(G98),G98&gt;0,ISNUMBER(I98)),I98/G98,"")</f>
        <v/>
      </c>
      <c r="M98" s="10" t="s">
        <v>105</v>
      </c>
      <c r="N98" s="10" t="s">
        <v>213</v>
      </c>
      <c r="O98" s="10" t="s">
        <v>107</v>
      </c>
    </row>
    <row r="99" customFormat="false" ht="15" hidden="false" customHeight="false" outlineLevel="0" collapsed="false">
      <c r="A99" s="10" t="n">
        <v>98</v>
      </c>
      <c r="B99" s="10" t="s">
        <v>214</v>
      </c>
      <c r="C99" s="10" t="s">
        <v>90</v>
      </c>
      <c r="D99" s="10" t="s">
        <v>91</v>
      </c>
      <c r="E99" s="10" t="s">
        <v>92</v>
      </c>
      <c r="F99" s="10" t="s">
        <v>136</v>
      </c>
      <c r="G99" s="11" t="n">
        <v>155</v>
      </c>
      <c r="H99" s="11"/>
      <c r="I99" s="11"/>
      <c r="J99" s="11"/>
      <c r="K99" s="10" t="str">
        <f aca="false">IF(ISNUMBER(J99),IF(J99&lt;10,"ультра-НЧ",IF(J99&lt;100,"НЧ",IF(J99&lt;=1000,"СЧ","ВЧ"))),IF(ISNUMBER(I99),IF(I99&lt;10,"ультра-НЧ",IF(I99&lt;100,"НЧ",IF(I99&lt;=1000,"СЧ","ВЧ"))),"нет данных"))</f>
        <v>нет данных</v>
      </c>
      <c r="L99" s="12" t="str">
        <f aca="false">IF(AND(ISNUMBER(G99),G99&gt;0,ISNUMBER(I99)),I99/G99,"")</f>
        <v/>
      </c>
      <c r="M99" s="10" t="s">
        <v>112</v>
      </c>
      <c r="N99" s="10" t="s">
        <v>214</v>
      </c>
      <c r="O99" s="10"/>
    </row>
    <row r="100" customFormat="false" ht="15" hidden="false" customHeight="false" outlineLevel="0" collapsed="false">
      <c r="A100" s="10" t="n">
        <v>99</v>
      </c>
      <c r="B100" s="10" t="s">
        <v>215</v>
      </c>
      <c r="C100" s="10" t="s">
        <v>90</v>
      </c>
      <c r="D100" s="10" t="s">
        <v>91</v>
      </c>
      <c r="E100" s="10" t="s">
        <v>92</v>
      </c>
      <c r="F100" s="10" t="s">
        <v>136</v>
      </c>
      <c r="G100" s="11" t="n">
        <v>154</v>
      </c>
      <c r="H100" s="11"/>
      <c r="I100" s="11"/>
      <c r="J100" s="11"/>
      <c r="K100" s="10" t="str">
        <f aca="false">IF(ISNUMBER(J100),IF(J100&lt;10,"ультра-НЧ",IF(J100&lt;100,"НЧ",IF(J100&lt;=1000,"СЧ","ВЧ"))),IF(ISNUMBER(I100),IF(I100&lt;10,"ультра-НЧ",IF(I100&lt;100,"НЧ",IF(I100&lt;=1000,"СЧ","ВЧ"))),"нет данных"))</f>
        <v>нет данных</v>
      </c>
      <c r="L100" s="12" t="str">
        <f aca="false">IF(AND(ISNUMBER(G100),G100&gt;0,ISNUMBER(I100)),I100/G100,"")</f>
        <v/>
      </c>
      <c r="M100" s="10" t="s">
        <v>105</v>
      </c>
      <c r="N100" s="10" t="s">
        <v>215</v>
      </c>
      <c r="O100" s="10" t="s">
        <v>107</v>
      </c>
    </row>
    <row r="101" customFormat="false" ht="15" hidden="false" customHeight="false" outlineLevel="0" collapsed="false">
      <c r="A101" s="10" t="n">
        <v>100</v>
      </c>
      <c r="B101" s="10" t="s">
        <v>216</v>
      </c>
      <c r="C101" s="10" t="s">
        <v>90</v>
      </c>
      <c r="D101" s="10" t="s">
        <v>91</v>
      </c>
      <c r="E101" s="10" t="s">
        <v>92</v>
      </c>
      <c r="F101" s="10" t="s">
        <v>136</v>
      </c>
      <c r="G101" s="11" t="n">
        <v>154</v>
      </c>
      <c r="H101" s="11"/>
      <c r="I101" s="11"/>
      <c r="J101" s="11"/>
      <c r="K101" s="10" t="str">
        <f aca="false">IF(ISNUMBER(J101),IF(J101&lt;10,"ультра-НЧ",IF(J101&lt;100,"НЧ",IF(J101&lt;=1000,"СЧ","ВЧ"))),IF(ISNUMBER(I101),IF(I101&lt;10,"ультра-НЧ",IF(I101&lt;100,"НЧ",IF(I101&lt;=1000,"СЧ","ВЧ"))),"нет данных"))</f>
        <v>нет данных</v>
      </c>
      <c r="L101" s="12" t="str">
        <f aca="false">IF(AND(ISNUMBER(G101),G101&gt;0,ISNUMBER(I101)),I101/G101,"")</f>
        <v/>
      </c>
      <c r="M101" s="10" t="s">
        <v>105</v>
      </c>
      <c r="N101" s="10" t="s">
        <v>216</v>
      </c>
      <c r="O101" s="10" t="s">
        <v>107</v>
      </c>
    </row>
    <row r="102" customFormat="false" ht="15" hidden="false" customHeight="false" outlineLevel="0" collapsed="false">
      <c r="A102" s="10" t="n">
        <v>101</v>
      </c>
      <c r="B102" s="10" t="s">
        <v>217</v>
      </c>
      <c r="C102" s="10" t="s">
        <v>90</v>
      </c>
      <c r="D102" s="10" t="s">
        <v>91</v>
      </c>
      <c r="E102" s="10" t="s">
        <v>92</v>
      </c>
      <c r="F102" s="10" t="s">
        <v>136</v>
      </c>
      <c r="G102" s="11" t="n">
        <v>154</v>
      </c>
      <c r="H102" s="11"/>
      <c r="I102" s="11"/>
      <c r="J102" s="11"/>
      <c r="K102" s="10" t="str">
        <f aca="false">IF(ISNUMBER(J102),IF(J102&lt;10,"ультра-НЧ",IF(J102&lt;100,"НЧ",IF(J102&lt;=1000,"СЧ","ВЧ"))),IF(ISNUMBER(I102),IF(I102&lt;10,"ультра-НЧ",IF(I102&lt;100,"НЧ",IF(I102&lt;=1000,"СЧ","ВЧ"))),"нет данных"))</f>
        <v>нет данных</v>
      </c>
      <c r="L102" s="12" t="str">
        <f aca="false">IF(AND(ISNUMBER(G102),G102&gt;0,ISNUMBER(I102)),I102/G102,"")</f>
        <v/>
      </c>
      <c r="M102" s="10" t="s">
        <v>112</v>
      </c>
      <c r="N102" s="10" t="s">
        <v>217</v>
      </c>
      <c r="O102" s="10"/>
    </row>
    <row r="103" customFormat="false" ht="15" hidden="false" customHeight="false" outlineLevel="0" collapsed="false">
      <c r="A103" s="10" t="n">
        <v>102</v>
      </c>
      <c r="B103" s="10" t="s">
        <v>218</v>
      </c>
      <c r="C103" s="10" t="s">
        <v>90</v>
      </c>
      <c r="D103" s="10" t="s">
        <v>91</v>
      </c>
      <c r="E103" s="10" t="s">
        <v>92</v>
      </c>
      <c r="F103" s="10" t="s">
        <v>136</v>
      </c>
      <c r="G103" s="11" t="n">
        <v>154</v>
      </c>
      <c r="H103" s="11"/>
      <c r="I103" s="11"/>
      <c r="J103" s="11"/>
      <c r="K103" s="10" t="str">
        <f aca="false">IF(ISNUMBER(J103),IF(J103&lt;10,"ультра-НЧ",IF(J103&lt;100,"НЧ",IF(J103&lt;=1000,"СЧ","ВЧ"))),IF(ISNUMBER(I103),IF(I103&lt;10,"ультра-НЧ",IF(I103&lt;100,"НЧ",IF(I103&lt;=1000,"СЧ","ВЧ"))),"нет данных"))</f>
        <v>нет данных</v>
      </c>
      <c r="L103" s="12" t="str">
        <f aca="false">IF(AND(ISNUMBER(G103),G103&gt;0,ISNUMBER(I103)),I103/G103,"")</f>
        <v/>
      </c>
      <c r="M103" s="10" t="s">
        <v>105</v>
      </c>
      <c r="N103" s="10" t="s">
        <v>218</v>
      </c>
      <c r="O103" s="10" t="s">
        <v>107</v>
      </c>
    </row>
    <row r="104" customFormat="false" ht="15" hidden="false" customHeight="false" outlineLevel="0" collapsed="false">
      <c r="A104" s="10" t="n">
        <v>103</v>
      </c>
      <c r="B104" s="10" t="s">
        <v>219</v>
      </c>
      <c r="C104" s="10" t="s">
        <v>90</v>
      </c>
      <c r="D104" s="10" t="s">
        <v>91</v>
      </c>
      <c r="E104" s="10" t="s">
        <v>92</v>
      </c>
      <c r="F104" s="10" t="s">
        <v>136</v>
      </c>
      <c r="G104" s="11" t="n">
        <v>154</v>
      </c>
      <c r="H104" s="11"/>
      <c r="I104" s="11"/>
      <c r="J104" s="11"/>
      <c r="K104" s="10" t="str">
        <f aca="false">IF(ISNUMBER(J104),IF(J104&lt;10,"ультра-НЧ",IF(J104&lt;100,"НЧ",IF(J104&lt;=1000,"СЧ","ВЧ"))),IF(ISNUMBER(I104),IF(I104&lt;10,"ультра-НЧ",IF(I104&lt;100,"НЧ",IF(I104&lt;=1000,"СЧ","ВЧ"))),"нет данных"))</f>
        <v>нет данных</v>
      </c>
      <c r="L104" s="12" t="str">
        <f aca="false">IF(AND(ISNUMBER(G104),G104&gt;0,ISNUMBER(I104)),I104/G104,"")</f>
        <v/>
      </c>
      <c r="M104" s="10" t="s">
        <v>112</v>
      </c>
      <c r="N104" s="10" t="s">
        <v>219</v>
      </c>
      <c r="O104" s="10"/>
    </row>
    <row r="105" customFormat="false" ht="15" hidden="false" customHeight="false" outlineLevel="0" collapsed="false">
      <c r="A105" s="10" t="n">
        <v>104</v>
      </c>
      <c r="B105" s="10" t="s">
        <v>220</v>
      </c>
      <c r="C105" s="10" t="s">
        <v>90</v>
      </c>
      <c r="D105" s="10" t="s">
        <v>91</v>
      </c>
      <c r="E105" s="10" t="s">
        <v>92</v>
      </c>
      <c r="F105" s="10" t="s">
        <v>136</v>
      </c>
      <c r="G105" s="11" t="n">
        <v>154</v>
      </c>
      <c r="H105" s="11"/>
      <c r="I105" s="11"/>
      <c r="J105" s="11"/>
      <c r="K105" s="10" t="str">
        <f aca="false">IF(ISNUMBER(J105),IF(J105&lt;10,"ультра-НЧ",IF(J105&lt;100,"НЧ",IF(J105&lt;=1000,"СЧ","ВЧ"))),IF(ISNUMBER(I105),IF(I105&lt;10,"ультра-НЧ",IF(I105&lt;100,"НЧ",IF(I105&lt;=1000,"СЧ","ВЧ"))),"нет данных"))</f>
        <v>нет данных</v>
      </c>
      <c r="L105" s="12" t="str">
        <f aca="false">IF(AND(ISNUMBER(G105),G105&gt;0,ISNUMBER(I105)),I105/G105,"")</f>
        <v/>
      </c>
      <c r="M105" s="10" t="s">
        <v>112</v>
      </c>
      <c r="N105" s="10" t="s">
        <v>220</v>
      </c>
      <c r="O105" s="10"/>
    </row>
    <row r="106" customFormat="false" ht="15" hidden="false" customHeight="false" outlineLevel="0" collapsed="false">
      <c r="A106" s="10" t="n">
        <v>105</v>
      </c>
      <c r="B106" s="10" t="s">
        <v>221</v>
      </c>
      <c r="C106" s="10" t="s">
        <v>90</v>
      </c>
      <c r="D106" s="10" t="s">
        <v>91</v>
      </c>
      <c r="E106" s="10" t="s">
        <v>92</v>
      </c>
      <c r="F106" s="10" t="s">
        <v>136</v>
      </c>
      <c r="G106" s="11" t="n">
        <v>150</v>
      </c>
      <c r="H106" s="11"/>
      <c r="I106" s="11"/>
      <c r="J106" s="11"/>
      <c r="K106" s="10" t="str">
        <f aca="false">IF(ISNUMBER(J106),IF(J106&lt;10,"ультра-НЧ",IF(J106&lt;100,"НЧ",IF(J106&lt;=1000,"СЧ","ВЧ"))),IF(ISNUMBER(I106),IF(I106&lt;10,"ультра-НЧ",IF(I106&lt;100,"НЧ",IF(I106&lt;=1000,"СЧ","ВЧ"))),"нет данных"))</f>
        <v>нет данных</v>
      </c>
      <c r="L106" s="12" t="str">
        <f aca="false">IF(AND(ISNUMBER(G106),G106&gt;0,ISNUMBER(I106)),I106/G106,"")</f>
        <v/>
      </c>
      <c r="M106" s="10" t="s">
        <v>105</v>
      </c>
      <c r="N106" s="10" t="s">
        <v>221</v>
      </c>
      <c r="O106" s="10" t="s">
        <v>107</v>
      </c>
    </row>
    <row r="107" customFormat="false" ht="15" hidden="false" customHeight="false" outlineLevel="0" collapsed="false">
      <c r="A107" s="10" t="n">
        <v>106</v>
      </c>
      <c r="B107" s="10" t="s">
        <v>222</v>
      </c>
      <c r="C107" s="10" t="s">
        <v>90</v>
      </c>
      <c r="D107" s="10" t="s">
        <v>91</v>
      </c>
      <c r="E107" s="10" t="s">
        <v>92</v>
      </c>
      <c r="F107" s="10" t="s">
        <v>136</v>
      </c>
      <c r="G107" s="11" t="n">
        <v>149</v>
      </c>
      <c r="H107" s="11"/>
      <c r="I107" s="11"/>
      <c r="J107" s="11"/>
      <c r="K107" s="10" t="str">
        <f aca="false">IF(ISNUMBER(J107),IF(J107&lt;10,"ультра-НЧ",IF(J107&lt;100,"НЧ",IF(J107&lt;=1000,"СЧ","ВЧ"))),IF(ISNUMBER(I107),IF(I107&lt;10,"ультра-НЧ",IF(I107&lt;100,"НЧ",IF(I107&lt;=1000,"СЧ","ВЧ"))),"нет данных"))</f>
        <v>нет данных</v>
      </c>
      <c r="L107" s="12" t="str">
        <f aca="false">IF(AND(ISNUMBER(G107),G107&gt;0,ISNUMBER(I107)),I107/G107,"")</f>
        <v/>
      </c>
      <c r="M107" s="10" t="s">
        <v>105</v>
      </c>
      <c r="N107" s="10" t="s">
        <v>222</v>
      </c>
      <c r="O107" s="10" t="s">
        <v>107</v>
      </c>
    </row>
    <row r="108" customFormat="false" ht="15" hidden="false" customHeight="false" outlineLevel="0" collapsed="false">
      <c r="A108" s="10" t="n">
        <v>107</v>
      </c>
      <c r="B108" s="10" t="s">
        <v>223</v>
      </c>
      <c r="C108" s="10" t="s">
        <v>90</v>
      </c>
      <c r="D108" s="10" t="s">
        <v>91</v>
      </c>
      <c r="E108" s="10" t="s">
        <v>92</v>
      </c>
      <c r="F108" s="10" t="s">
        <v>136</v>
      </c>
      <c r="G108" s="11" t="n">
        <v>147</v>
      </c>
      <c r="H108" s="11"/>
      <c r="I108" s="11"/>
      <c r="J108" s="11"/>
      <c r="K108" s="10" t="str">
        <f aca="false">IF(ISNUMBER(J108),IF(J108&lt;10,"ультра-НЧ",IF(J108&lt;100,"НЧ",IF(J108&lt;=1000,"СЧ","ВЧ"))),IF(ISNUMBER(I108),IF(I108&lt;10,"ультра-НЧ",IF(I108&lt;100,"НЧ",IF(I108&lt;=1000,"СЧ","ВЧ"))),"нет данных"))</f>
        <v>нет данных</v>
      </c>
      <c r="L108" s="12" t="str">
        <f aca="false">IF(AND(ISNUMBER(G108),G108&gt;0,ISNUMBER(I108)),I108/G108,"")</f>
        <v/>
      </c>
      <c r="M108" s="10" t="s">
        <v>105</v>
      </c>
      <c r="N108" s="10" t="s">
        <v>223</v>
      </c>
      <c r="O108" s="10" t="s">
        <v>107</v>
      </c>
    </row>
    <row r="109" customFormat="false" ht="15" hidden="false" customHeight="false" outlineLevel="0" collapsed="false">
      <c r="A109" s="10" t="n">
        <v>108</v>
      </c>
      <c r="B109" s="10" t="s">
        <v>224</v>
      </c>
      <c r="C109" s="10" t="s">
        <v>90</v>
      </c>
      <c r="D109" s="10" t="s">
        <v>91</v>
      </c>
      <c r="E109" s="10" t="s">
        <v>92</v>
      </c>
      <c r="F109" s="10" t="s">
        <v>136</v>
      </c>
      <c r="G109" s="11" t="n">
        <v>146</v>
      </c>
      <c r="H109" s="11"/>
      <c r="I109" s="11"/>
      <c r="J109" s="11"/>
      <c r="K109" s="10" t="str">
        <f aca="false">IF(ISNUMBER(J109),IF(J109&lt;10,"ультра-НЧ",IF(J109&lt;100,"НЧ",IF(J109&lt;=1000,"СЧ","ВЧ"))),IF(ISNUMBER(I109),IF(I109&lt;10,"ультра-НЧ",IF(I109&lt;100,"НЧ",IF(I109&lt;=1000,"СЧ","ВЧ"))),"нет данных"))</f>
        <v>нет данных</v>
      </c>
      <c r="L109" s="12" t="str">
        <f aca="false">IF(AND(ISNUMBER(G109),G109&gt;0,ISNUMBER(I109)),I109/G109,"")</f>
        <v/>
      </c>
      <c r="M109" s="10" t="s">
        <v>105</v>
      </c>
      <c r="N109" s="10" t="s">
        <v>224</v>
      </c>
      <c r="O109" s="10" t="s">
        <v>107</v>
      </c>
    </row>
    <row r="110" customFormat="false" ht="15" hidden="false" customHeight="false" outlineLevel="0" collapsed="false">
      <c r="A110" s="10" t="n">
        <v>109</v>
      </c>
      <c r="B110" s="10" t="s">
        <v>225</v>
      </c>
      <c r="C110" s="10" t="s">
        <v>90</v>
      </c>
      <c r="D110" s="10" t="s">
        <v>91</v>
      </c>
      <c r="E110" s="10" t="s">
        <v>92</v>
      </c>
      <c r="F110" s="10" t="s">
        <v>136</v>
      </c>
      <c r="G110" s="11" t="n">
        <v>146</v>
      </c>
      <c r="H110" s="11"/>
      <c r="I110" s="11"/>
      <c r="J110" s="11"/>
      <c r="K110" s="10" t="str">
        <f aca="false">IF(ISNUMBER(J110),IF(J110&lt;10,"ультра-НЧ",IF(J110&lt;100,"НЧ",IF(J110&lt;=1000,"СЧ","ВЧ"))),IF(ISNUMBER(I110),IF(I110&lt;10,"ультра-НЧ",IF(I110&lt;100,"НЧ",IF(I110&lt;=1000,"СЧ","ВЧ"))),"нет данных"))</f>
        <v>нет данных</v>
      </c>
      <c r="L110" s="12" t="str">
        <f aca="false">IF(AND(ISNUMBER(G110),G110&gt;0,ISNUMBER(I110)),I110/G110,"")</f>
        <v/>
      </c>
      <c r="M110" s="10" t="s">
        <v>105</v>
      </c>
      <c r="N110" s="10" t="s">
        <v>225</v>
      </c>
      <c r="O110" s="10" t="s">
        <v>107</v>
      </c>
    </row>
    <row r="111" customFormat="false" ht="15" hidden="false" customHeight="false" outlineLevel="0" collapsed="false">
      <c r="A111" s="10" t="n">
        <v>110</v>
      </c>
      <c r="B111" s="10" t="s">
        <v>226</v>
      </c>
      <c r="C111" s="10" t="s">
        <v>90</v>
      </c>
      <c r="D111" s="10" t="s">
        <v>91</v>
      </c>
      <c r="E111" s="10" t="s">
        <v>92</v>
      </c>
      <c r="F111" s="10" t="s">
        <v>136</v>
      </c>
      <c r="G111" s="11" t="n">
        <v>145</v>
      </c>
      <c r="H111" s="11"/>
      <c r="I111" s="11"/>
      <c r="J111" s="11"/>
      <c r="K111" s="10" t="str">
        <f aca="false">IF(ISNUMBER(J111),IF(J111&lt;10,"ультра-НЧ",IF(J111&lt;100,"НЧ",IF(J111&lt;=1000,"СЧ","ВЧ"))),IF(ISNUMBER(I111),IF(I111&lt;10,"ультра-НЧ",IF(I111&lt;100,"НЧ",IF(I111&lt;=1000,"СЧ","ВЧ"))),"нет данных"))</f>
        <v>нет данных</v>
      </c>
      <c r="L111" s="12" t="str">
        <f aca="false">IF(AND(ISNUMBER(G111),G111&gt;0,ISNUMBER(I111)),I111/G111,"")</f>
        <v/>
      </c>
      <c r="M111" s="10" t="s">
        <v>105</v>
      </c>
      <c r="N111" s="10" t="s">
        <v>226</v>
      </c>
      <c r="O111" s="10" t="s">
        <v>107</v>
      </c>
    </row>
    <row r="112" customFormat="false" ht="15" hidden="false" customHeight="false" outlineLevel="0" collapsed="false">
      <c r="A112" s="10" t="n">
        <v>111</v>
      </c>
      <c r="B112" s="10" t="s">
        <v>227</v>
      </c>
      <c r="C112" s="10" t="s">
        <v>90</v>
      </c>
      <c r="D112" s="10" t="s">
        <v>91</v>
      </c>
      <c r="E112" s="10" t="s">
        <v>92</v>
      </c>
      <c r="F112" s="10" t="s">
        <v>136</v>
      </c>
      <c r="G112" s="11" t="n">
        <v>145</v>
      </c>
      <c r="H112" s="11"/>
      <c r="I112" s="11"/>
      <c r="J112" s="11"/>
      <c r="K112" s="10" t="str">
        <f aca="false">IF(ISNUMBER(J112),IF(J112&lt;10,"ультра-НЧ",IF(J112&lt;100,"НЧ",IF(J112&lt;=1000,"СЧ","ВЧ"))),IF(ISNUMBER(I112),IF(I112&lt;10,"ультра-НЧ",IF(I112&lt;100,"НЧ",IF(I112&lt;=1000,"СЧ","ВЧ"))),"нет данных"))</f>
        <v>нет данных</v>
      </c>
      <c r="L112" s="12" t="str">
        <f aca="false">IF(AND(ISNUMBER(G112),G112&gt;0,ISNUMBER(I112)),I112/G112,"")</f>
        <v/>
      </c>
      <c r="M112" s="10" t="s">
        <v>105</v>
      </c>
      <c r="N112" s="10" t="s">
        <v>227</v>
      </c>
      <c r="O112" s="10" t="s">
        <v>107</v>
      </c>
    </row>
    <row r="113" customFormat="false" ht="15" hidden="false" customHeight="false" outlineLevel="0" collapsed="false">
      <c r="A113" s="10" t="n">
        <v>112</v>
      </c>
      <c r="B113" s="10" t="s">
        <v>228</v>
      </c>
      <c r="C113" s="10" t="s">
        <v>90</v>
      </c>
      <c r="D113" s="10" t="s">
        <v>91</v>
      </c>
      <c r="E113" s="10" t="s">
        <v>92</v>
      </c>
      <c r="F113" s="10" t="s">
        <v>136</v>
      </c>
      <c r="G113" s="11" t="n">
        <v>145</v>
      </c>
      <c r="H113" s="11"/>
      <c r="I113" s="11"/>
      <c r="J113" s="11"/>
      <c r="K113" s="10" t="str">
        <f aca="false">IF(ISNUMBER(J113),IF(J113&lt;10,"ультра-НЧ",IF(J113&lt;100,"НЧ",IF(J113&lt;=1000,"СЧ","ВЧ"))),IF(ISNUMBER(I113),IF(I113&lt;10,"ультра-НЧ",IF(I113&lt;100,"НЧ",IF(I113&lt;=1000,"СЧ","ВЧ"))),"нет данных"))</f>
        <v>нет данных</v>
      </c>
      <c r="L113" s="12" t="str">
        <f aca="false">IF(AND(ISNUMBER(G113),G113&gt;0,ISNUMBER(I113)),I113/G113,"")</f>
        <v/>
      </c>
      <c r="M113" s="10" t="s">
        <v>105</v>
      </c>
      <c r="N113" s="10" t="s">
        <v>229</v>
      </c>
      <c r="O113" s="10" t="s">
        <v>107</v>
      </c>
    </row>
    <row r="114" customFormat="false" ht="15" hidden="false" customHeight="false" outlineLevel="0" collapsed="false">
      <c r="A114" s="10" t="n">
        <v>113</v>
      </c>
      <c r="B114" s="10" t="s">
        <v>230</v>
      </c>
      <c r="C114" s="10" t="s">
        <v>90</v>
      </c>
      <c r="D114" s="10" t="s">
        <v>91</v>
      </c>
      <c r="E114" s="10" t="s">
        <v>92</v>
      </c>
      <c r="F114" s="10" t="s">
        <v>136</v>
      </c>
      <c r="G114" s="11" t="n">
        <v>144</v>
      </c>
      <c r="H114" s="11"/>
      <c r="I114" s="11"/>
      <c r="J114" s="11"/>
      <c r="K114" s="10" t="str">
        <f aca="false">IF(ISNUMBER(J114),IF(J114&lt;10,"ультра-НЧ",IF(J114&lt;100,"НЧ",IF(J114&lt;=1000,"СЧ","ВЧ"))),IF(ISNUMBER(I114),IF(I114&lt;10,"ультра-НЧ",IF(I114&lt;100,"НЧ",IF(I114&lt;=1000,"СЧ","ВЧ"))),"нет данных"))</f>
        <v>нет данных</v>
      </c>
      <c r="L114" s="12" t="str">
        <f aca="false">IF(AND(ISNUMBER(G114),G114&gt;0,ISNUMBER(I114)),I114/G114,"")</f>
        <v/>
      </c>
      <c r="M114" s="10" t="s">
        <v>105</v>
      </c>
      <c r="N114" s="10" t="s">
        <v>231</v>
      </c>
      <c r="O114" s="10" t="s">
        <v>107</v>
      </c>
    </row>
    <row r="115" customFormat="false" ht="15" hidden="false" customHeight="false" outlineLevel="0" collapsed="false">
      <c r="A115" s="10" t="n">
        <v>114</v>
      </c>
      <c r="B115" s="10" t="s">
        <v>232</v>
      </c>
      <c r="C115" s="10" t="s">
        <v>90</v>
      </c>
      <c r="D115" s="10" t="s">
        <v>91</v>
      </c>
      <c r="E115" s="10" t="s">
        <v>92</v>
      </c>
      <c r="F115" s="10" t="s">
        <v>136</v>
      </c>
      <c r="G115" s="11" t="n">
        <v>142</v>
      </c>
      <c r="H115" s="11"/>
      <c r="I115" s="11"/>
      <c r="J115" s="11"/>
      <c r="K115" s="10" t="str">
        <f aca="false">IF(ISNUMBER(J115),IF(J115&lt;10,"ультра-НЧ",IF(J115&lt;100,"НЧ",IF(J115&lt;=1000,"СЧ","ВЧ"))),IF(ISNUMBER(I115),IF(I115&lt;10,"ультра-НЧ",IF(I115&lt;100,"НЧ",IF(I115&lt;=1000,"СЧ","ВЧ"))),"нет данных"))</f>
        <v>нет данных</v>
      </c>
      <c r="L115" s="12" t="str">
        <f aca="false">IF(AND(ISNUMBER(G115),G115&gt;0,ISNUMBER(I115)),I115/G115,"")</f>
        <v/>
      </c>
      <c r="M115" s="10" t="s">
        <v>105</v>
      </c>
      <c r="N115" s="10" t="s">
        <v>232</v>
      </c>
      <c r="O115" s="10" t="s">
        <v>107</v>
      </c>
    </row>
    <row r="116" customFormat="false" ht="15" hidden="false" customHeight="false" outlineLevel="0" collapsed="false">
      <c r="A116" s="10" t="n">
        <v>115</v>
      </c>
      <c r="B116" s="10" t="s">
        <v>233</v>
      </c>
      <c r="C116" s="10" t="s">
        <v>90</v>
      </c>
      <c r="D116" s="10" t="s">
        <v>91</v>
      </c>
      <c r="E116" s="10" t="s">
        <v>92</v>
      </c>
      <c r="F116" s="10" t="s">
        <v>136</v>
      </c>
      <c r="G116" s="11" t="n">
        <v>141</v>
      </c>
      <c r="H116" s="11"/>
      <c r="I116" s="11"/>
      <c r="J116" s="11"/>
      <c r="K116" s="10" t="str">
        <f aca="false">IF(ISNUMBER(J116),IF(J116&lt;10,"ультра-НЧ",IF(J116&lt;100,"НЧ",IF(J116&lt;=1000,"СЧ","ВЧ"))),IF(ISNUMBER(I116),IF(I116&lt;10,"ультра-НЧ",IF(I116&lt;100,"НЧ",IF(I116&lt;=1000,"СЧ","ВЧ"))),"нет данных"))</f>
        <v>нет данных</v>
      </c>
      <c r="L116" s="12" t="str">
        <f aca="false">IF(AND(ISNUMBER(G116),G116&gt;0,ISNUMBER(I116)),I116/G116,"")</f>
        <v/>
      </c>
      <c r="M116" s="10" t="s">
        <v>105</v>
      </c>
      <c r="N116" s="10" t="s">
        <v>233</v>
      </c>
      <c r="O116" s="10" t="s">
        <v>107</v>
      </c>
    </row>
    <row r="117" customFormat="false" ht="15" hidden="false" customHeight="false" outlineLevel="0" collapsed="false">
      <c r="A117" s="10" t="n">
        <v>116</v>
      </c>
      <c r="B117" s="10" t="s">
        <v>234</v>
      </c>
      <c r="C117" s="10" t="s">
        <v>90</v>
      </c>
      <c r="D117" s="10" t="s">
        <v>91</v>
      </c>
      <c r="E117" s="10" t="s">
        <v>92</v>
      </c>
      <c r="F117" s="10" t="s">
        <v>136</v>
      </c>
      <c r="G117" s="11" t="n">
        <v>141</v>
      </c>
      <c r="H117" s="11"/>
      <c r="I117" s="11"/>
      <c r="J117" s="11"/>
      <c r="K117" s="10" t="str">
        <f aca="false">IF(ISNUMBER(J117),IF(J117&lt;10,"ультра-НЧ",IF(J117&lt;100,"НЧ",IF(J117&lt;=1000,"СЧ","ВЧ"))),IF(ISNUMBER(I117),IF(I117&lt;10,"ультра-НЧ",IF(I117&lt;100,"НЧ",IF(I117&lt;=1000,"СЧ","ВЧ"))),"нет данных"))</f>
        <v>нет данных</v>
      </c>
      <c r="L117" s="12" t="str">
        <f aca="false">IF(AND(ISNUMBER(G117),G117&gt;0,ISNUMBER(I117)),I117/G117,"")</f>
        <v/>
      </c>
      <c r="M117" s="10" t="s">
        <v>105</v>
      </c>
      <c r="N117" s="10" t="s">
        <v>235</v>
      </c>
      <c r="O117" s="10" t="s">
        <v>107</v>
      </c>
    </row>
    <row r="118" customFormat="false" ht="15" hidden="false" customHeight="false" outlineLevel="0" collapsed="false">
      <c r="A118" s="10" t="n">
        <v>117</v>
      </c>
      <c r="B118" s="10" t="s">
        <v>236</v>
      </c>
      <c r="C118" s="10" t="s">
        <v>90</v>
      </c>
      <c r="D118" s="10" t="s">
        <v>91</v>
      </c>
      <c r="E118" s="10" t="s">
        <v>92</v>
      </c>
      <c r="F118" s="10" t="s">
        <v>136</v>
      </c>
      <c r="G118" s="11" t="n">
        <v>140</v>
      </c>
      <c r="H118" s="11"/>
      <c r="I118" s="11"/>
      <c r="J118" s="11"/>
      <c r="K118" s="10" t="str">
        <f aca="false">IF(ISNUMBER(J118),IF(J118&lt;10,"ультра-НЧ",IF(J118&lt;100,"НЧ",IF(J118&lt;=1000,"СЧ","ВЧ"))),IF(ISNUMBER(I118),IF(I118&lt;10,"ультра-НЧ",IF(I118&lt;100,"НЧ",IF(I118&lt;=1000,"СЧ","ВЧ"))),"нет данных"))</f>
        <v>нет данных</v>
      </c>
      <c r="L118" s="12" t="str">
        <f aca="false">IF(AND(ISNUMBER(G118),G118&gt;0,ISNUMBER(I118)),I118/G118,"")</f>
        <v/>
      </c>
      <c r="M118" s="10" t="s">
        <v>105</v>
      </c>
      <c r="N118" s="10" t="s">
        <v>236</v>
      </c>
      <c r="O118" s="10" t="s">
        <v>107</v>
      </c>
    </row>
    <row r="119" customFormat="false" ht="15" hidden="false" customHeight="false" outlineLevel="0" collapsed="false">
      <c r="A119" s="10" t="n">
        <v>118</v>
      </c>
      <c r="B119" s="10" t="s">
        <v>237</v>
      </c>
      <c r="C119" s="10" t="s">
        <v>90</v>
      </c>
      <c r="D119" s="10" t="s">
        <v>91</v>
      </c>
      <c r="E119" s="10" t="s">
        <v>92</v>
      </c>
      <c r="F119" s="10" t="s">
        <v>136</v>
      </c>
      <c r="G119" s="11" t="n">
        <v>140</v>
      </c>
      <c r="H119" s="11"/>
      <c r="I119" s="11"/>
      <c r="J119" s="11"/>
      <c r="K119" s="10" t="str">
        <f aca="false">IF(ISNUMBER(J119),IF(J119&lt;10,"ультра-НЧ",IF(J119&lt;100,"НЧ",IF(J119&lt;=1000,"СЧ","ВЧ"))),IF(ISNUMBER(I119),IF(I119&lt;10,"ультра-НЧ",IF(I119&lt;100,"НЧ",IF(I119&lt;=1000,"СЧ","ВЧ"))),"нет данных"))</f>
        <v>нет данных</v>
      </c>
      <c r="L119" s="12" t="str">
        <f aca="false">IF(AND(ISNUMBER(G119),G119&gt;0,ISNUMBER(I119)),I119/G119,"")</f>
        <v/>
      </c>
      <c r="M119" s="10" t="s">
        <v>105</v>
      </c>
      <c r="N119" s="10" t="s">
        <v>237</v>
      </c>
      <c r="O119" s="10" t="s">
        <v>107</v>
      </c>
    </row>
    <row r="120" customFormat="false" ht="15" hidden="false" customHeight="false" outlineLevel="0" collapsed="false">
      <c r="A120" s="10" t="n">
        <v>119</v>
      </c>
      <c r="B120" s="10" t="s">
        <v>238</v>
      </c>
      <c r="C120" s="10" t="s">
        <v>90</v>
      </c>
      <c r="D120" s="10" t="s">
        <v>91</v>
      </c>
      <c r="E120" s="10" t="s">
        <v>92</v>
      </c>
      <c r="F120" s="10" t="s">
        <v>136</v>
      </c>
      <c r="G120" s="11" t="n">
        <v>140</v>
      </c>
      <c r="H120" s="11"/>
      <c r="I120" s="11"/>
      <c r="J120" s="11"/>
      <c r="K120" s="10" t="str">
        <f aca="false">IF(ISNUMBER(J120),IF(J120&lt;10,"ультра-НЧ",IF(J120&lt;100,"НЧ",IF(J120&lt;=1000,"СЧ","ВЧ"))),IF(ISNUMBER(I120),IF(I120&lt;10,"ультра-НЧ",IF(I120&lt;100,"НЧ",IF(I120&lt;=1000,"СЧ","ВЧ"))),"нет данных"))</f>
        <v>нет данных</v>
      </c>
      <c r="L120" s="12" t="str">
        <f aca="false">IF(AND(ISNUMBER(G120),G120&gt;0,ISNUMBER(I120)),I120/G120,"")</f>
        <v/>
      </c>
      <c r="M120" s="10" t="s">
        <v>112</v>
      </c>
      <c r="N120" s="10" t="s">
        <v>239</v>
      </c>
      <c r="O120" s="10"/>
    </row>
    <row r="121" customFormat="false" ht="15" hidden="false" customHeight="false" outlineLevel="0" collapsed="false">
      <c r="A121" s="10" t="n">
        <v>120</v>
      </c>
      <c r="B121" s="10" t="s">
        <v>240</v>
      </c>
      <c r="C121" s="10" t="s">
        <v>90</v>
      </c>
      <c r="D121" s="10" t="s">
        <v>91</v>
      </c>
      <c r="E121" s="10" t="s">
        <v>92</v>
      </c>
      <c r="F121" s="10" t="s">
        <v>136</v>
      </c>
      <c r="G121" s="11" t="n">
        <v>140</v>
      </c>
      <c r="H121" s="11"/>
      <c r="I121" s="11"/>
      <c r="J121" s="11"/>
      <c r="K121" s="10" t="str">
        <f aca="false">IF(ISNUMBER(J121),IF(J121&lt;10,"ультра-НЧ",IF(J121&lt;100,"НЧ",IF(J121&lt;=1000,"СЧ","ВЧ"))),IF(ISNUMBER(I121),IF(I121&lt;10,"ультра-НЧ",IF(I121&lt;100,"НЧ",IF(I121&lt;=1000,"СЧ","ВЧ"))),"нет данных"))</f>
        <v>нет данных</v>
      </c>
      <c r="L121" s="12" t="str">
        <f aca="false">IF(AND(ISNUMBER(G121),G121&gt;0,ISNUMBER(I121)),I121/G121,"")</f>
        <v/>
      </c>
      <c r="M121" s="10" t="s">
        <v>105</v>
      </c>
      <c r="N121" s="10" t="s">
        <v>240</v>
      </c>
      <c r="O121" s="10" t="s">
        <v>107</v>
      </c>
    </row>
    <row r="122" customFormat="false" ht="15" hidden="false" customHeight="false" outlineLevel="0" collapsed="false">
      <c r="A122" s="10" t="n">
        <v>121</v>
      </c>
      <c r="B122" s="10" t="s">
        <v>241</v>
      </c>
      <c r="C122" s="10" t="s">
        <v>90</v>
      </c>
      <c r="D122" s="10" t="s">
        <v>91</v>
      </c>
      <c r="E122" s="10" t="s">
        <v>92</v>
      </c>
      <c r="F122" s="10" t="s">
        <v>136</v>
      </c>
      <c r="G122" s="11" t="n">
        <v>139</v>
      </c>
      <c r="H122" s="11"/>
      <c r="I122" s="11"/>
      <c r="J122" s="11"/>
      <c r="K122" s="10" t="str">
        <f aca="false">IF(ISNUMBER(J122),IF(J122&lt;10,"ультра-НЧ",IF(J122&lt;100,"НЧ",IF(J122&lt;=1000,"СЧ","ВЧ"))),IF(ISNUMBER(I122),IF(I122&lt;10,"ультра-НЧ",IF(I122&lt;100,"НЧ",IF(I122&lt;=1000,"СЧ","ВЧ"))),"нет данных"))</f>
        <v>нет данных</v>
      </c>
      <c r="L122" s="12" t="str">
        <f aca="false">IF(AND(ISNUMBER(G122),G122&gt;0,ISNUMBER(I122)),I122/G122,"")</f>
        <v/>
      </c>
      <c r="M122" s="10" t="s">
        <v>105</v>
      </c>
      <c r="N122" s="10" t="s">
        <v>241</v>
      </c>
      <c r="O122" s="10" t="s">
        <v>107</v>
      </c>
    </row>
    <row r="123" customFormat="false" ht="15" hidden="false" customHeight="false" outlineLevel="0" collapsed="false">
      <c r="A123" s="10" t="n">
        <v>122</v>
      </c>
      <c r="B123" s="10" t="s">
        <v>242</v>
      </c>
      <c r="C123" s="10" t="s">
        <v>90</v>
      </c>
      <c r="D123" s="10" t="s">
        <v>91</v>
      </c>
      <c r="E123" s="10" t="s">
        <v>92</v>
      </c>
      <c r="F123" s="10" t="s">
        <v>136</v>
      </c>
      <c r="G123" s="11" t="n">
        <v>139</v>
      </c>
      <c r="H123" s="11"/>
      <c r="I123" s="11"/>
      <c r="J123" s="11"/>
      <c r="K123" s="10" t="str">
        <f aca="false">IF(ISNUMBER(J123),IF(J123&lt;10,"ультра-НЧ",IF(J123&lt;100,"НЧ",IF(J123&lt;=1000,"СЧ","ВЧ"))),IF(ISNUMBER(I123),IF(I123&lt;10,"ультра-НЧ",IF(I123&lt;100,"НЧ",IF(I123&lt;=1000,"СЧ","ВЧ"))),"нет данных"))</f>
        <v>нет данных</v>
      </c>
      <c r="L123" s="12" t="str">
        <f aca="false">IF(AND(ISNUMBER(G123),G123&gt;0,ISNUMBER(I123)),I123/G123,"")</f>
        <v/>
      </c>
      <c r="M123" s="10" t="s">
        <v>105</v>
      </c>
      <c r="N123" s="10" t="s">
        <v>242</v>
      </c>
      <c r="O123" s="10" t="s">
        <v>107</v>
      </c>
    </row>
    <row r="124" customFormat="false" ht="15" hidden="false" customHeight="false" outlineLevel="0" collapsed="false">
      <c r="A124" s="10" t="n">
        <v>123</v>
      </c>
      <c r="B124" s="10" t="s">
        <v>243</v>
      </c>
      <c r="C124" s="10" t="s">
        <v>90</v>
      </c>
      <c r="D124" s="10" t="s">
        <v>91</v>
      </c>
      <c r="E124" s="10" t="s">
        <v>92</v>
      </c>
      <c r="F124" s="10" t="s">
        <v>136</v>
      </c>
      <c r="G124" s="11" t="n">
        <v>137</v>
      </c>
      <c r="H124" s="11"/>
      <c r="I124" s="11"/>
      <c r="J124" s="11"/>
      <c r="K124" s="10" t="str">
        <f aca="false">IF(ISNUMBER(J124),IF(J124&lt;10,"ультра-НЧ",IF(J124&lt;100,"НЧ",IF(J124&lt;=1000,"СЧ","ВЧ"))),IF(ISNUMBER(I124),IF(I124&lt;10,"ультра-НЧ",IF(I124&lt;100,"НЧ",IF(I124&lt;=1000,"СЧ","ВЧ"))),"нет данных"))</f>
        <v>нет данных</v>
      </c>
      <c r="L124" s="12" t="str">
        <f aca="false">IF(AND(ISNUMBER(G124),G124&gt;0,ISNUMBER(I124)),I124/G124,"")</f>
        <v/>
      </c>
      <c r="M124" s="10" t="s">
        <v>105</v>
      </c>
      <c r="N124" s="10" t="s">
        <v>243</v>
      </c>
      <c r="O124" s="10" t="s">
        <v>107</v>
      </c>
    </row>
    <row r="125" customFormat="false" ht="15" hidden="false" customHeight="false" outlineLevel="0" collapsed="false">
      <c r="A125" s="10" t="n">
        <v>124</v>
      </c>
      <c r="B125" s="10" t="s">
        <v>244</v>
      </c>
      <c r="C125" s="10" t="s">
        <v>90</v>
      </c>
      <c r="D125" s="10" t="s">
        <v>91</v>
      </c>
      <c r="E125" s="10" t="s">
        <v>92</v>
      </c>
      <c r="F125" s="10" t="s">
        <v>136</v>
      </c>
      <c r="G125" s="11" t="n">
        <v>137</v>
      </c>
      <c r="H125" s="11"/>
      <c r="I125" s="11"/>
      <c r="J125" s="11"/>
      <c r="K125" s="10" t="str">
        <f aca="false">IF(ISNUMBER(J125),IF(J125&lt;10,"ультра-НЧ",IF(J125&lt;100,"НЧ",IF(J125&lt;=1000,"СЧ","ВЧ"))),IF(ISNUMBER(I125),IF(I125&lt;10,"ультра-НЧ",IF(I125&lt;100,"НЧ",IF(I125&lt;=1000,"СЧ","ВЧ"))),"нет данных"))</f>
        <v>нет данных</v>
      </c>
      <c r="L125" s="12" t="str">
        <f aca="false">IF(AND(ISNUMBER(G125),G125&gt;0,ISNUMBER(I125)),I125/G125,"")</f>
        <v/>
      </c>
      <c r="M125" s="10" t="s">
        <v>105</v>
      </c>
      <c r="N125" s="10" t="s">
        <v>244</v>
      </c>
      <c r="O125" s="10" t="s">
        <v>107</v>
      </c>
    </row>
    <row r="126" customFormat="false" ht="15" hidden="false" customHeight="false" outlineLevel="0" collapsed="false">
      <c r="A126" s="10" t="n">
        <v>125</v>
      </c>
      <c r="B126" s="10" t="s">
        <v>245</v>
      </c>
      <c r="C126" s="10" t="s">
        <v>90</v>
      </c>
      <c r="D126" s="10" t="s">
        <v>91</v>
      </c>
      <c r="E126" s="10" t="s">
        <v>92</v>
      </c>
      <c r="F126" s="10" t="s">
        <v>136</v>
      </c>
      <c r="G126" s="11" t="n">
        <v>136</v>
      </c>
      <c r="H126" s="11"/>
      <c r="I126" s="11"/>
      <c r="J126" s="11"/>
      <c r="K126" s="10" t="str">
        <f aca="false">IF(ISNUMBER(J126),IF(J126&lt;10,"ультра-НЧ",IF(J126&lt;100,"НЧ",IF(J126&lt;=1000,"СЧ","ВЧ"))),IF(ISNUMBER(I126),IF(I126&lt;10,"ультра-НЧ",IF(I126&lt;100,"НЧ",IF(I126&lt;=1000,"СЧ","ВЧ"))),"нет данных"))</f>
        <v>нет данных</v>
      </c>
      <c r="L126" s="12" t="str">
        <f aca="false">IF(AND(ISNUMBER(G126),G126&gt;0,ISNUMBER(I126)),I126/G126,"")</f>
        <v/>
      </c>
      <c r="M126" s="10" t="s">
        <v>105</v>
      </c>
      <c r="N126" s="10" t="s">
        <v>245</v>
      </c>
      <c r="O126" s="10" t="s">
        <v>107</v>
      </c>
    </row>
    <row r="127" customFormat="false" ht="15" hidden="false" customHeight="false" outlineLevel="0" collapsed="false">
      <c r="A127" s="10" t="n">
        <v>126</v>
      </c>
      <c r="B127" s="10" t="s">
        <v>246</v>
      </c>
      <c r="C127" s="10" t="s">
        <v>90</v>
      </c>
      <c r="D127" s="10" t="s">
        <v>91</v>
      </c>
      <c r="E127" s="10" t="s">
        <v>92</v>
      </c>
      <c r="F127" s="10" t="s">
        <v>136</v>
      </c>
      <c r="G127" s="11" t="n">
        <v>136</v>
      </c>
      <c r="H127" s="11"/>
      <c r="I127" s="11"/>
      <c r="J127" s="11"/>
      <c r="K127" s="10" t="str">
        <f aca="false">IF(ISNUMBER(J127),IF(J127&lt;10,"ультра-НЧ",IF(J127&lt;100,"НЧ",IF(J127&lt;=1000,"СЧ","ВЧ"))),IF(ISNUMBER(I127),IF(I127&lt;10,"ультра-НЧ",IF(I127&lt;100,"НЧ",IF(I127&lt;=1000,"СЧ","ВЧ"))),"нет данных"))</f>
        <v>нет данных</v>
      </c>
      <c r="L127" s="12" t="str">
        <f aca="false">IF(AND(ISNUMBER(G127),G127&gt;0,ISNUMBER(I127)),I127/G127,"")</f>
        <v/>
      </c>
      <c r="M127" s="10" t="s">
        <v>105</v>
      </c>
      <c r="N127" s="10" t="s">
        <v>247</v>
      </c>
      <c r="O127" s="10" t="s">
        <v>107</v>
      </c>
    </row>
    <row r="128" customFormat="false" ht="15" hidden="false" customHeight="false" outlineLevel="0" collapsed="false">
      <c r="A128" s="10" t="n">
        <v>127</v>
      </c>
      <c r="B128" s="10" t="s">
        <v>248</v>
      </c>
      <c r="C128" s="10" t="s">
        <v>90</v>
      </c>
      <c r="D128" s="10" t="s">
        <v>91</v>
      </c>
      <c r="E128" s="10" t="s">
        <v>92</v>
      </c>
      <c r="F128" s="10" t="s">
        <v>136</v>
      </c>
      <c r="G128" s="11" t="n">
        <v>135</v>
      </c>
      <c r="H128" s="11"/>
      <c r="I128" s="11"/>
      <c r="J128" s="11"/>
      <c r="K128" s="10" t="str">
        <f aca="false">IF(ISNUMBER(J128),IF(J128&lt;10,"ультра-НЧ",IF(J128&lt;100,"НЧ",IF(J128&lt;=1000,"СЧ","ВЧ"))),IF(ISNUMBER(I128),IF(I128&lt;10,"ультра-НЧ",IF(I128&lt;100,"НЧ",IF(I128&lt;=1000,"СЧ","ВЧ"))),"нет данных"))</f>
        <v>нет данных</v>
      </c>
      <c r="L128" s="12" t="str">
        <f aca="false">IF(AND(ISNUMBER(G128),G128&gt;0,ISNUMBER(I128)),I128/G128,"")</f>
        <v/>
      </c>
      <c r="M128" s="10" t="s">
        <v>105</v>
      </c>
      <c r="N128" s="10" t="s">
        <v>248</v>
      </c>
      <c r="O128" s="10" t="s">
        <v>107</v>
      </c>
    </row>
    <row r="129" customFormat="false" ht="15" hidden="false" customHeight="false" outlineLevel="0" collapsed="false">
      <c r="A129" s="10" t="n">
        <v>128</v>
      </c>
      <c r="B129" s="10" t="s">
        <v>249</v>
      </c>
      <c r="C129" s="10" t="s">
        <v>90</v>
      </c>
      <c r="D129" s="10" t="s">
        <v>91</v>
      </c>
      <c r="E129" s="10" t="s">
        <v>92</v>
      </c>
      <c r="F129" s="10" t="s">
        <v>136</v>
      </c>
      <c r="G129" s="11" t="n">
        <v>134</v>
      </c>
      <c r="H129" s="11"/>
      <c r="I129" s="11"/>
      <c r="J129" s="11"/>
      <c r="K129" s="10" t="str">
        <f aca="false">IF(ISNUMBER(J129),IF(J129&lt;10,"ультра-НЧ",IF(J129&lt;100,"НЧ",IF(J129&lt;=1000,"СЧ","ВЧ"))),IF(ISNUMBER(I129),IF(I129&lt;10,"ультра-НЧ",IF(I129&lt;100,"НЧ",IF(I129&lt;=1000,"СЧ","ВЧ"))),"нет данных"))</f>
        <v>нет данных</v>
      </c>
      <c r="L129" s="12" t="str">
        <f aca="false">IF(AND(ISNUMBER(G129),G129&gt;0,ISNUMBER(I129)),I129/G129,"")</f>
        <v/>
      </c>
      <c r="M129" s="10" t="s">
        <v>105</v>
      </c>
      <c r="N129" s="10" t="s">
        <v>250</v>
      </c>
      <c r="O129" s="10" t="s">
        <v>107</v>
      </c>
    </row>
    <row r="130" customFormat="false" ht="15" hidden="false" customHeight="false" outlineLevel="0" collapsed="false">
      <c r="A130" s="10" t="n">
        <v>129</v>
      </c>
      <c r="B130" s="10" t="s">
        <v>251</v>
      </c>
      <c r="C130" s="10" t="s">
        <v>90</v>
      </c>
      <c r="D130" s="10" t="s">
        <v>91</v>
      </c>
      <c r="E130" s="10" t="s">
        <v>92</v>
      </c>
      <c r="F130" s="10" t="s">
        <v>136</v>
      </c>
      <c r="G130" s="11" t="n">
        <v>131</v>
      </c>
      <c r="H130" s="11"/>
      <c r="I130" s="11"/>
      <c r="J130" s="11"/>
      <c r="K130" s="10" t="str">
        <f aca="false">IF(ISNUMBER(J130),IF(J130&lt;10,"ультра-НЧ",IF(J130&lt;100,"НЧ",IF(J130&lt;=1000,"СЧ","ВЧ"))),IF(ISNUMBER(I130),IF(I130&lt;10,"ультра-НЧ",IF(I130&lt;100,"НЧ",IF(I130&lt;=1000,"СЧ","ВЧ"))),"нет данных"))</f>
        <v>нет данных</v>
      </c>
      <c r="L130" s="12" t="str">
        <f aca="false">IF(AND(ISNUMBER(G130),G130&gt;0,ISNUMBER(I130)),I130/G130,"")</f>
        <v/>
      </c>
      <c r="M130" s="10" t="s">
        <v>105</v>
      </c>
      <c r="N130" s="10" t="s">
        <v>251</v>
      </c>
      <c r="O130" s="10" t="s">
        <v>107</v>
      </c>
    </row>
    <row r="131" customFormat="false" ht="15" hidden="false" customHeight="false" outlineLevel="0" collapsed="false">
      <c r="A131" s="10" t="n">
        <v>130</v>
      </c>
      <c r="B131" s="10" t="s">
        <v>252</v>
      </c>
      <c r="C131" s="10" t="s">
        <v>90</v>
      </c>
      <c r="D131" s="10" t="s">
        <v>91</v>
      </c>
      <c r="E131" s="10" t="s">
        <v>92</v>
      </c>
      <c r="F131" s="10" t="s">
        <v>136</v>
      </c>
      <c r="G131" s="11" t="n">
        <v>129</v>
      </c>
      <c r="H131" s="11"/>
      <c r="I131" s="11"/>
      <c r="J131" s="11"/>
      <c r="K131" s="10" t="str">
        <f aca="false">IF(ISNUMBER(J131),IF(J131&lt;10,"ультра-НЧ",IF(J131&lt;100,"НЧ",IF(J131&lt;=1000,"СЧ","ВЧ"))),IF(ISNUMBER(I131),IF(I131&lt;10,"ультра-НЧ",IF(I131&lt;100,"НЧ",IF(I131&lt;=1000,"СЧ","ВЧ"))),"нет данных"))</f>
        <v>нет данных</v>
      </c>
      <c r="L131" s="12" t="str">
        <f aca="false">IF(AND(ISNUMBER(G131),G131&gt;0,ISNUMBER(I131)),I131/G131,"")</f>
        <v/>
      </c>
      <c r="M131" s="10" t="s">
        <v>112</v>
      </c>
      <c r="N131" s="10" t="s">
        <v>252</v>
      </c>
      <c r="O131" s="10"/>
    </row>
    <row r="132" customFormat="false" ht="15" hidden="false" customHeight="false" outlineLevel="0" collapsed="false">
      <c r="A132" s="10" t="n">
        <v>131</v>
      </c>
      <c r="B132" s="10" t="s">
        <v>253</v>
      </c>
      <c r="C132" s="10" t="s">
        <v>90</v>
      </c>
      <c r="D132" s="10" t="s">
        <v>91</v>
      </c>
      <c r="E132" s="10" t="s">
        <v>92</v>
      </c>
      <c r="F132" s="10" t="s">
        <v>136</v>
      </c>
      <c r="G132" s="11" t="n">
        <v>129</v>
      </c>
      <c r="H132" s="11"/>
      <c r="I132" s="11"/>
      <c r="J132" s="11"/>
      <c r="K132" s="10" t="str">
        <f aca="false">IF(ISNUMBER(J132),IF(J132&lt;10,"ультра-НЧ",IF(J132&lt;100,"НЧ",IF(J132&lt;=1000,"СЧ","ВЧ"))),IF(ISNUMBER(I132),IF(I132&lt;10,"ультра-НЧ",IF(I132&lt;100,"НЧ",IF(I132&lt;=1000,"СЧ","ВЧ"))),"нет данных"))</f>
        <v>нет данных</v>
      </c>
      <c r="L132" s="12" t="str">
        <f aca="false">IF(AND(ISNUMBER(G132),G132&gt;0,ISNUMBER(I132)),I132/G132,"")</f>
        <v/>
      </c>
      <c r="M132" s="10" t="s">
        <v>105</v>
      </c>
      <c r="N132" s="10" t="s">
        <v>253</v>
      </c>
      <c r="O132" s="10" t="s">
        <v>107</v>
      </c>
    </row>
    <row r="133" customFormat="false" ht="15" hidden="false" customHeight="false" outlineLevel="0" collapsed="false">
      <c r="A133" s="10" t="n">
        <v>132</v>
      </c>
      <c r="B133" s="10" t="s">
        <v>254</v>
      </c>
      <c r="C133" s="10" t="s">
        <v>90</v>
      </c>
      <c r="D133" s="10" t="s">
        <v>91</v>
      </c>
      <c r="E133" s="10" t="s">
        <v>92</v>
      </c>
      <c r="F133" s="10" t="s">
        <v>136</v>
      </c>
      <c r="G133" s="11" t="n">
        <v>129</v>
      </c>
      <c r="H133" s="11"/>
      <c r="I133" s="11"/>
      <c r="J133" s="11"/>
      <c r="K133" s="10" t="str">
        <f aca="false">IF(ISNUMBER(J133),IF(J133&lt;10,"ультра-НЧ",IF(J133&lt;100,"НЧ",IF(J133&lt;=1000,"СЧ","ВЧ"))),IF(ISNUMBER(I133),IF(I133&lt;10,"ультра-НЧ",IF(I133&lt;100,"НЧ",IF(I133&lt;=1000,"СЧ","ВЧ"))),"нет данных"))</f>
        <v>нет данных</v>
      </c>
      <c r="L133" s="12" t="str">
        <f aca="false">IF(AND(ISNUMBER(G133),G133&gt;0,ISNUMBER(I133)),I133/G133,"")</f>
        <v/>
      </c>
      <c r="M133" s="10" t="s">
        <v>105</v>
      </c>
      <c r="N133" s="10" t="s">
        <v>254</v>
      </c>
      <c r="O133" s="10" t="s">
        <v>107</v>
      </c>
    </row>
    <row r="134" customFormat="false" ht="15" hidden="false" customHeight="false" outlineLevel="0" collapsed="false">
      <c r="A134" s="10" t="n">
        <v>133</v>
      </c>
      <c r="B134" s="10" t="s">
        <v>255</v>
      </c>
      <c r="C134" s="10" t="s">
        <v>90</v>
      </c>
      <c r="D134" s="10" t="s">
        <v>91</v>
      </c>
      <c r="E134" s="10" t="s">
        <v>92</v>
      </c>
      <c r="F134" s="10" t="s">
        <v>136</v>
      </c>
      <c r="G134" s="11" t="n">
        <v>127</v>
      </c>
      <c r="H134" s="11"/>
      <c r="I134" s="11"/>
      <c r="J134" s="11"/>
      <c r="K134" s="10" t="str">
        <f aca="false">IF(ISNUMBER(J134),IF(J134&lt;10,"ультра-НЧ",IF(J134&lt;100,"НЧ",IF(J134&lt;=1000,"СЧ","ВЧ"))),IF(ISNUMBER(I134),IF(I134&lt;10,"ультра-НЧ",IF(I134&lt;100,"НЧ",IF(I134&lt;=1000,"СЧ","ВЧ"))),"нет данных"))</f>
        <v>нет данных</v>
      </c>
      <c r="L134" s="12" t="str">
        <f aca="false">IF(AND(ISNUMBER(G134),G134&gt;0,ISNUMBER(I134)),I134/G134,"")</f>
        <v/>
      </c>
      <c r="M134" s="10" t="s">
        <v>105</v>
      </c>
      <c r="N134" s="10" t="s">
        <v>255</v>
      </c>
      <c r="O134" s="10" t="s">
        <v>107</v>
      </c>
    </row>
    <row r="135" customFormat="false" ht="15" hidden="false" customHeight="false" outlineLevel="0" collapsed="false">
      <c r="A135" s="10" t="n">
        <v>134</v>
      </c>
      <c r="B135" s="10" t="s">
        <v>256</v>
      </c>
      <c r="C135" s="10" t="s">
        <v>90</v>
      </c>
      <c r="D135" s="10" t="s">
        <v>91</v>
      </c>
      <c r="E135" s="10" t="s">
        <v>92</v>
      </c>
      <c r="F135" s="10" t="s">
        <v>136</v>
      </c>
      <c r="G135" s="11" t="n">
        <v>126</v>
      </c>
      <c r="H135" s="11"/>
      <c r="I135" s="11"/>
      <c r="J135" s="11"/>
      <c r="K135" s="10" t="str">
        <f aca="false">IF(ISNUMBER(J135),IF(J135&lt;10,"ультра-НЧ",IF(J135&lt;100,"НЧ",IF(J135&lt;=1000,"СЧ","ВЧ"))),IF(ISNUMBER(I135),IF(I135&lt;10,"ультра-НЧ",IF(I135&lt;100,"НЧ",IF(I135&lt;=1000,"СЧ","ВЧ"))),"нет данных"))</f>
        <v>нет данных</v>
      </c>
      <c r="L135" s="12" t="str">
        <f aca="false">IF(AND(ISNUMBER(G135),G135&gt;0,ISNUMBER(I135)),I135/G135,"")</f>
        <v/>
      </c>
      <c r="M135" s="10" t="s">
        <v>105</v>
      </c>
      <c r="N135" s="10" t="s">
        <v>256</v>
      </c>
      <c r="O135" s="10" t="s">
        <v>107</v>
      </c>
    </row>
    <row r="136" customFormat="false" ht="15" hidden="false" customHeight="false" outlineLevel="0" collapsed="false">
      <c r="A136" s="10" t="n">
        <v>135</v>
      </c>
      <c r="B136" s="10" t="s">
        <v>257</v>
      </c>
      <c r="C136" s="10" t="s">
        <v>90</v>
      </c>
      <c r="D136" s="10" t="s">
        <v>91</v>
      </c>
      <c r="E136" s="10" t="s">
        <v>92</v>
      </c>
      <c r="F136" s="10" t="s">
        <v>136</v>
      </c>
      <c r="G136" s="11" t="n">
        <v>125</v>
      </c>
      <c r="H136" s="11"/>
      <c r="I136" s="11"/>
      <c r="J136" s="11"/>
      <c r="K136" s="10" t="str">
        <f aca="false">IF(ISNUMBER(J136),IF(J136&lt;10,"ультра-НЧ",IF(J136&lt;100,"НЧ",IF(J136&lt;=1000,"СЧ","ВЧ"))),IF(ISNUMBER(I136),IF(I136&lt;10,"ультра-НЧ",IF(I136&lt;100,"НЧ",IF(I136&lt;=1000,"СЧ","ВЧ"))),"нет данных"))</f>
        <v>нет данных</v>
      </c>
      <c r="L136" s="12" t="str">
        <f aca="false">IF(AND(ISNUMBER(G136),G136&gt;0,ISNUMBER(I136)),I136/G136,"")</f>
        <v/>
      </c>
      <c r="M136" s="10" t="s">
        <v>105</v>
      </c>
      <c r="N136" s="10" t="s">
        <v>257</v>
      </c>
      <c r="O136" s="10" t="s">
        <v>107</v>
      </c>
    </row>
    <row r="137" customFormat="false" ht="15" hidden="false" customHeight="false" outlineLevel="0" collapsed="false">
      <c r="A137" s="10" t="n">
        <v>136</v>
      </c>
      <c r="B137" s="10" t="s">
        <v>258</v>
      </c>
      <c r="C137" s="10" t="s">
        <v>90</v>
      </c>
      <c r="D137" s="10" t="s">
        <v>91</v>
      </c>
      <c r="E137" s="10" t="s">
        <v>92</v>
      </c>
      <c r="F137" s="10" t="s">
        <v>136</v>
      </c>
      <c r="G137" s="11" t="n">
        <v>124</v>
      </c>
      <c r="H137" s="11"/>
      <c r="I137" s="11"/>
      <c r="J137" s="11"/>
      <c r="K137" s="10" t="str">
        <f aca="false">IF(ISNUMBER(J137),IF(J137&lt;10,"ультра-НЧ",IF(J137&lt;100,"НЧ",IF(J137&lt;=1000,"СЧ","ВЧ"))),IF(ISNUMBER(I137),IF(I137&lt;10,"ультра-НЧ",IF(I137&lt;100,"НЧ",IF(I137&lt;=1000,"СЧ","ВЧ"))),"нет данных"))</f>
        <v>нет данных</v>
      </c>
      <c r="L137" s="12" t="str">
        <f aca="false">IF(AND(ISNUMBER(G137),G137&gt;0,ISNUMBER(I137)),I137/G137,"")</f>
        <v/>
      </c>
      <c r="M137" s="10" t="s">
        <v>105</v>
      </c>
      <c r="N137" s="10" t="s">
        <v>258</v>
      </c>
      <c r="O137" s="10" t="s">
        <v>107</v>
      </c>
    </row>
    <row r="138" customFormat="false" ht="15" hidden="false" customHeight="false" outlineLevel="0" collapsed="false">
      <c r="A138" s="10" t="n">
        <v>137</v>
      </c>
      <c r="B138" s="10" t="s">
        <v>259</v>
      </c>
      <c r="C138" s="10" t="s">
        <v>90</v>
      </c>
      <c r="D138" s="10" t="s">
        <v>91</v>
      </c>
      <c r="E138" s="10" t="s">
        <v>92</v>
      </c>
      <c r="F138" s="10" t="s">
        <v>136</v>
      </c>
      <c r="G138" s="11" t="n">
        <v>124</v>
      </c>
      <c r="H138" s="11"/>
      <c r="I138" s="11"/>
      <c r="J138" s="11"/>
      <c r="K138" s="10" t="str">
        <f aca="false">IF(ISNUMBER(J138),IF(J138&lt;10,"ультра-НЧ",IF(J138&lt;100,"НЧ",IF(J138&lt;=1000,"СЧ","ВЧ"))),IF(ISNUMBER(I138),IF(I138&lt;10,"ультра-НЧ",IF(I138&lt;100,"НЧ",IF(I138&lt;=1000,"СЧ","ВЧ"))),"нет данных"))</f>
        <v>нет данных</v>
      </c>
      <c r="L138" s="12" t="str">
        <f aca="false">IF(AND(ISNUMBER(G138),G138&gt;0,ISNUMBER(I138)),I138/G138,"")</f>
        <v/>
      </c>
      <c r="M138" s="10" t="s">
        <v>105</v>
      </c>
      <c r="N138" s="10" t="s">
        <v>259</v>
      </c>
      <c r="O138" s="10" t="s">
        <v>107</v>
      </c>
    </row>
    <row r="139" customFormat="false" ht="15" hidden="false" customHeight="false" outlineLevel="0" collapsed="false">
      <c r="A139" s="10" t="n">
        <v>138</v>
      </c>
      <c r="B139" s="10" t="s">
        <v>260</v>
      </c>
      <c r="C139" s="10" t="s">
        <v>90</v>
      </c>
      <c r="D139" s="10" t="s">
        <v>91</v>
      </c>
      <c r="E139" s="10" t="s">
        <v>92</v>
      </c>
      <c r="F139" s="10" t="s">
        <v>136</v>
      </c>
      <c r="G139" s="11" t="n">
        <v>122</v>
      </c>
      <c r="H139" s="11"/>
      <c r="I139" s="11"/>
      <c r="J139" s="11"/>
      <c r="K139" s="10" t="str">
        <f aca="false">IF(ISNUMBER(J139),IF(J139&lt;10,"ультра-НЧ",IF(J139&lt;100,"НЧ",IF(J139&lt;=1000,"СЧ","ВЧ"))),IF(ISNUMBER(I139),IF(I139&lt;10,"ультра-НЧ",IF(I139&lt;100,"НЧ",IF(I139&lt;=1000,"СЧ","ВЧ"))),"нет данных"))</f>
        <v>нет данных</v>
      </c>
      <c r="L139" s="12" t="str">
        <f aca="false">IF(AND(ISNUMBER(G139),G139&gt;0,ISNUMBER(I139)),I139/G139,"")</f>
        <v/>
      </c>
      <c r="M139" s="10" t="s">
        <v>105</v>
      </c>
      <c r="N139" s="10" t="s">
        <v>260</v>
      </c>
      <c r="O139" s="10" t="s">
        <v>107</v>
      </c>
    </row>
    <row r="140" customFormat="false" ht="15" hidden="false" customHeight="false" outlineLevel="0" collapsed="false">
      <c r="A140" s="10" t="n">
        <v>139</v>
      </c>
      <c r="B140" s="10" t="s">
        <v>261</v>
      </c>
      <c r="C140" s="10" t="s">
        <v>90</v>
      </c>
      <c r="D140" s="10" t="s">
        <v>91</v>
      </c>
      <c r="E140" s="10" t="s">
        <v>92</v>
      </c>
      <c r="F140" s="10" t="s">
        <v>136</v>
      </c>
      <c r="G140" s="11" t="n">
        <v>121</v>
      </c>
      <c r="H140" s="11"/>
      <c r="I140" s="11"/>
      <c r="J140" s="11"/>
      <c r="K140" s="10" t="str">
        <f aca="false">IF(ISNUMBER(J140),IF(J140&lt;10,"ультра-НЧ",IF(J140&lt;100,"НЧ",IF(J140&lt;=1000,"СЧ","ВЧ"))),IF(ISNUMBER(I140),IF(I140&lt;10,"ультра-НЧ",IF(I140&lt;100,"НЧ",IF(I140&lt;=1000,"СЧ","ВЧ"))),"нет данных"))</f>
        <v>нет данных</v>
      </c>
      <c r="L140" s="12" t="str">
        <f aca="false">IF(AND(ISNUMBER(G140),G140&gt;0,ISNUMBER(I140)),I140/G140,"")</f>
        <v/>
      </c>
      <c r="M140" s="10" t="s">
        <v>105</v>
      </c>
      <c r="N140" s="10" t="s">
        <v>261</v>
      </c>
      <c r="O140" s="10" t="s">
        <v>107</v>
      </c>
    </row>
    <row r="141" customFormat="false" ht="15" hidden="false" customHeight="false" outlineLevel="0" collapsed="false">
      <c r="A141" s="10" t="n">
        <v>140</v>
      </c>
      <c r="B141" s="10" t="s">
        <v>262</v>
      </c>
      <c r="C141" s="10" t="s">
        <v>90</v>
      </c>
      <c r="D141" s="10" t="s">
        <v>91</v>
      </c>
      <c r="E141" s="10" t="s">
        <v>92</v>
      </c>
      <c r="F141" s="10" t="s">
        <v>136</v>
      </c>
      <c r="G141" s="11" t="n">
        <v>121</v>
      </c>
      <c r="H141" s="11"/>
      <c r="I141" s="11"/>
      <c r="J141" s="11"/>
      <c r="K141" s="10" t="str">
        <f aca="false">IF(ISNUMBER(J141),IF(J141&lt;10,"ультра-НЧ",IF(J141&lt;100,"НЧ",IF(J141&lt;=1000,"СЧ","ВЧ"))),IF(ISNUMBER(I141),IF(I141&lt;10,"ультра-НЧ",IF(I141&lt;100,"НЧ",IF(I141&lt;=1000,"СЧ","ВЧ"))),"нет данных"))</f>
        <v>нет данных</v>
      </c>
      <c r="L141" s="12" t="str">
        <f aca="false">IF(AND(ISNUMBER(G141),G141&gt;0,ISNUMBER(I141)),I141/G141,"")</f>
        <v/>
      </c>
      <c r="M141" s="10" t="s">
        <v>105</v>
      </c>
      <c r="N141" s="10" t="s">
        <v>262</v>
      </c>
      <c r="O141" s="10" t="s">
        <v>107</v>
      </c>
    </row>
    <row r="142" customFormat="false" ht="15" hidden="false" customHeight="false" outlineLevel="0" collapsed="false">
      <c r="A142" s="10" t="n">
        <v>141</v>
      </c>
      <c r="B142" s="10" t="s">
        <v>263</v>
      </c>
      <c r="C142" s="10" t="s">
        <v>90</v>
      </c>
      <c r="D142" s="10" t="s">
        <v>91</v>
      </c>
      <c r="E142" s="10" t="s">
        <v>92</v>
      </c>
      <c r="F142" s="10" t="s">
        <v>136</v>
      </c>
      <c r="G142" s="11" t="n">
        <v>120</v>
      </c>
      <c r="H142" s="11"/>
      <c r="I142" s="11"/>
      <c r="J142" s="11"/>
      <c r="K142" s="10" t="str">
        <f aca="false">IF(ISNUMBER(J142),IF(J142&lt;10,"ультра-НЧ",IF(J142&lt;100,"НЧ",IF(J142&lt;=1000,"СЧ","ВЧ"))),IF(ISNUMBER(I142),IF(I142&lt;10,"ультра-НЧ",IF(I142&lt;100,"НЧ",IF(I142&lt;=1000,"СЧ","ВЧ"))),"нет данных"))</f>
        <v>нет данных</v>
      </c>
      <c r="L142" s="12" t="str">
        <f aca="false">IF(AND(ISNUMBER(G142),G142&gt;0,ISNUMBER(I142)),I142/G142,"")</f>
        <v/>
      </c>
      <c r="M142" s="10" t="s">
        <v>105</v>
      </c>
      <c r="N142" s="10" t="s">
        <v>263</v>
      </c>
      <c r="O142" s="10" t="s">
        <v>107</v>
      </c>
    </row>
    <row r="143" customFormat="false" ht="15" hidden="false" customHeight="false" outlineLevel="0" collapsed="false">
      <c r="A143" s="10" t="n">
        <v>142</v>
      </c>
      <c r="B143" s="10" t="s">
        <v>264</v>
      </c>
      <c r="C143" s="10" t="s">
        <v>90</v>
      </c>
      <c r="D143" s="10" t="s">
        <v>91</v>
      </c>
      <c r="E143" s="10" t="s">
        <v>92</v>
      </c>
      <c r="F143" s="10" t="s">
        <v>136</v>
      </c>
      <c r="G143" s="11" t="n">
        <v>120</v>
      </c>
      <c r="H143" s="11"/>
      <c r="I143" s="11"/>
      <c r="J143" s="11"/>
      <c r="K143" s="10" t="str">
        <f aca="false">IF(ISNUMBER(J143),IF(J143&lt;10,"ультра-НЧ",IF(J143&lt;100,"НЧ",IF(J143&lt;=1000,"СЧ","ВЧ"))),IF(ISNUMBER(I143),IF(I143&lt;10,"ультра-НЧ",IF(I143&lt;100,"НЧ",IF(I143&lt;=1000,"СЧ","ВЧ"))),"нет данных"))</f>
        <v>нет данных</v>
      </c>
      <c r="L143" s="12" t="str">
        <f aca="false">IF(AND(ISNUMBER(G143),G143&gt;0,ISNUMBER(I143)),I143/G143,"")</f>
        <v/>
      </c>
      <c r="M143" s="10" t="s">
        <v>105</v>
      </c>
      <c r="N143" s="10" t="s">
        <v>265</v>
      </c>
      <c r="O143" s="10" t="s">
        <v>107</v>
      </c>
    </row>
    <row r="144" customFormat="false" ht="15" hidden="false" customHeight="false" outlineLevel="0" collapsed="false">
      <c r="A144" s="10" t="n">
        <v>143</v>
      </c>
      <c r="B144" s="10" t="s">
        <v>266</v>
      </c>
      <c r="C144" s="10" t="s">
        <v>90</v>
      </c>
      <c r="D144" s="10" t="s">
        <v>91</v>
      </c>
      <c r="E144" s="10" t="s">
        <v>92</v>
      </c>
      <c r="F144" s="10" t="s">
        <v>136</v>
      </c>
      <c r="G144" s="11" t="n">
        <v>120</v>
      </c>
      <c r="H144" s="11"/>
      <c r="I144" s="11"/>
      <c r="J144" s="11"/>
      <c r="K144" s="10" t="str">
        <f aca="false">IF(ISNUMBER(J144),IF(J144&lt;10,"ультра-НЧ",IF(J144&lt;100,"НЧ",IF(J144&lt;=1000,"СЧ","ВЧ"))),IF(ISNUMBER(I144),IF(I144&lt;10,"ультра-НЧ",IF(I144&lt;100,"НЧ",IF(I144&lt;=1000,"СЧ","ВЧ"))),"нет данных"))</f>
        <v>нет данных</v>
      </c>
      <c r="L144" s="12" t="str">
        <f aca="false">IF(AND(ISNUMBER(G144),G144&gt;0,ISNUMBER(I144)),I144/G144,"")</f>
        <v/>
      </c>
      <c r="M144" s="10" t="s">
        <v>105</v>
      </c>
      <c r="N144" s="10" t="s">
        <v>266</v>
      </c>
      <c r="O144" s="10" t="s">
        <v>107</v>
      </c>
    </row>
    <row r="145" customFormat="false" ht="15" hidden="false" customHeight="false" outlineLevel="0" collapsed="false">
      <c r="A145" s="10" t="n">
        <v>144</v>
      </c>
      <c r="B145" s="10" t="s">
        <v>267</v>
      </c>
      <c r="C145" s="10" t="s">
        <v>90</v>
      </c>
      <c r="D145" s="10" t="s">
        <v>91</v>
      </c>
      <c r="E145" s="10" t="s">
        <v>92</v>
      </c>
      <c r="F145" s="10" t="s">
        <v>136</v>
      </c>
      <c r="G145" s="11" t="n">
        <v>119</v>
      </c>
      <c r="H145" s="11"/>
      <c r="I145" s="11"/>
      <c r="J145" s="11"/>
      <c r="K145" s="10" t="str">
        <f aca="false">IF(ISNUMBER(J145),IF(J145&lt;10,"ультра-НЧ",IF(J145&lt;100,"НЧ",IF(J145&lt;=1000,"СЧ","ВЧ"))),IF(ISNUMBER(I145),IF(I145&lt;10,"ультра-НЧ",IF(I145&lt;100,"НЧ",IF(I145&lt;=1000,"СЧ","ВЧ"))),"нет данных"))</f>
        <v>нет данных</v>
      </c>
      <c r="L145" s="12" t="str">
        <f aca="false">IF(AND(ISNUMBER(G145),G145&gt;0,ISNUMBER(I145)),I145/G145,"")</f>
        <v/>
      </c>
      <c r="M145" s="10" t="s">
        <v>105</v>
      </c>
      <c r="N145" s="10" t="s">
        <v>267</v>
      </c>
      <c r="O145" s="10" t="s">
        <v>107</v>
      </c>
    </row>
    <row r="146" customFormat="false" ht="15" hidden="false" customHeight="false" outlineLevel="0" collapsed="false">
      <c r="A146" s="10" t="n">
        <v>145</v>
      </c>
      <c r="B146" s="10" t="s">
        <v>268</v>
      </c>
      <c r="C146" s="10" t="s">
        <v>90</v>
      </c>
      <c r="D146" s="10" t="s">
        <v>91</v>
      </c>
      <c r="E146" s="10" t="s">
        <v>92</v>
      </c>
      <c r="F146" s="10" t="s">
        <v>136</v>
      </c>
      <c r="G146" s="11" t="n">
        <v>118</v>
      </c>
      <c r="H146" s="11"/>
      <c r="I146" s="11"/>
      <c r="J146" s="11"/>
      <c r="K146" s="10" t="str">
        <f aca="false">IF(ISNUMBER(J146),IF(J146&lt;10,"ультра-НЧ",IF(J146&lt;100,"НЧ",IF(J146&lt;=1000,"СЧ","ВЧ"))),IF(ISNUMBER(I146),IF(I146&lt;10,"ультра-НЧ",IF(I146&lt;100,"НЧ",IF(I146&lt;=1000,"СЧ","ВЧ"))),"нет данных"))</f>
        <v>нет данных</v>
      </c>
      <c r="L146" s="12" t="str">
        <f aca="false">IF(AND(ISNUMBER(G146),G146&gt;0,ISNUMBER(I146)),I146/G146,"")</f>
        <v/>
      </c>
      <c r="M146" s="10" t="s">
        <v>105</v>
      </c>
      <c r="N146" s="10" t="s">
        <v>268</v>
      </c>
      <c r="O146" s="10" t="s">
        <v>107</v>
      </c>
    </row>
    <row r="147" customFormat="false" ht="15" hidden="false" customHeight="false" outlineLevel="0" collapsed="false">
      <c r="A147" s="10" t="n">
        <v>146</v>
      </c>
      <c r="B147" s="10" t="s">
        <v>269</v>
      </c>
      <c r="C147" s="10" t="s">
        <v>90</v>
      </c>
      <c r="D147" s="10" t="s">
        <v>91</v>
      </c>
      <c r="E147" s="10" t="s">
        <v>92</v>
      </c>
      <c r="F147" s="10" t="s">
        <v>136</v>
      </c>
      <c r="G147" s="11" t="n">
        <v>116</v>
      </c>
      <c r="H147" s="11"/>
      <c r="I147" s="11"/>
      <c r="J147" s="11"/>
      <c r="K147" s="10" t="str">
        <f aca="false">IF(ISNUMBER(J147),IF(J147&lt;10,"ультра-НЧ",IF(J147&lt;100,"НЧ",IF(J147&lt;=1000,"СЧ","ВЧ"))),IF(ISNUMBER(I147),IF(I147&lt;10,"ультра-НЧ",IF(I147&lt;100,"НЧ",IF(I147&lt;=1000,"СЧ","ВЧ"))),"нет данных"))</f>
        <v>нет данных</v>
      </c>
      <c r="L147" s="12" t="str">
        <f aca="false">IF(AND(ISNUMBER(G147),G147&gt;0,ISNUMBER(I147)),I147/G147,"")</f>
        <v/>
      </c>
      <c r="M147" s="10" t="s">
        <v>105</v>
      </c>
      <c r="N147" s="10" t="s">
        <v>269</v>
      </c>
      <c r="O147" s="10" t="s">
        <v>107</v>
      </c>
    </row>
    <row r="148" customFormat="false" ht="15" hidden="false" customHeight="false" outlineLevel="0" collapsed="false">
      <c r="A148" s="10" t="n">
        <v>147</v>
      </c>
      <c r="B148" s="10" t="s">
        <v>270</v>
      </c>
      <c r="C148" s="10" t="s">
        <v>90</v>
      </c>
      <c r="D148" s="10" t="s">
        <v>91</v>
      </c>
      <c r="E148" s="10" t="s">
        <v>92</v>
      </c>
      <c r="F148" s="10" t="s">
        <v>136</v>
      </c>
      <c r="G148" s="11" t="n">
        <v>115</v>
      </c>
      <c r="H148" s="11"/>
      <c r="I148" s="11"/>
      <c r="J148" s="11"/>
      <c r="K148" s="10" t="str">
        <f aca="false">IF(ISNUMBER(J148),IF(J148&lt;10,"ультра-НЧ",IF(J148&lt;100,"НЧ",IF(J148&lt;=1000,"СЧ","ВЧ"))),IF(ISNUMBER(I148),IF(I148&lt;10,"ультра-НЧ",IF(I148&lt;100,"НЧ",IF(I148&lt;=1000,"СЧ","ВЧ"))),"нет данных"))</f>
        <v>нет данных</v>
      </c>
      <c r="L148" s="12" t="str">
        <f aca="false">IF(AND(ISNUMBER(G148),G148&gt;0,ISNUMBER(I148)),I148/G148,"")</f>
        <v/>
      </c>
      <c r="M148" s="10" t="s">
        <v>105</v>
      </c>
      <c r="N148" s="10" t="s">
        <v>270</v>
      </c>
      <c r="O148" s="10" t="s">
        <v>107</v>
      </c>
    </row>
    <row r="149" customFormat="false" ht="15" hidden="false" customHeight="false" outlineLevel="0" collapsed="false">
      <c r="A149" s="10" t="n">
        <v>148</v>
      </c>
      <c r="B149" s="10" t="s">
        <v>271</v>
      </c>
      <c r="C149" s="10" t="s">
        <v>90</v>
      </c>
      <c r="D149" s="10" t="s">
        <v>91</v>
      </c>
      <c r="E149" s="10" t="s">
        <v>92</v>
      </c>
      <c r="F149" s="10" t="s">
        <v>136</v>
      </c>
      <c r="G149" s="11" t="n">
        <v>114</v>
      </c>
      <c r="H149" s="11"/>
      <c r="I149" s="11"/>
      <c r="J149" s="11"/>
      <c r="K149" s="10" t="str">
        <f aca="false">IF(ISNUMBER(J149),IF(J149&lt;10,"ультра-НЧ",IF(J149&lt;100,"НЧ",IF(J149&lt;=1000,"СЧ","ВЧ"))),IF(ISNUMBER(I149),IF(I149&lt;10,"ультра-НЧ",IF(I149&lt;100,"НЧ",IF(I149&lt;=1000,"СЧ","ВЧ"))),"нет данных"))</f>
        <v>нет данных</v>
      </c>
      <c r="L149" s="12" t="str">
        <f aca="false">IF(AND(ISNUMBER(G149),G149&gt;0,ISNUMBER(I149)),I149/G149,"")</f>
        <v/>
      </c>
      <c r="M149" s="10" t="s">
        <v>105</v>
      </c>
      <c r="N149" s="10" t="s">
        <v>271</v>
      </c>
      <c r="O149" s="10" t="s">
        <v>107</v>
      </c>
    </row>
    <row r="150" customFormat="false" ht="15" hidden="false" customHeight="false" outlineLevel="0" collapsed="false">
      <c r="A150" s="10" t="n">
        <v>149</v>
      </c>
      <c r="B150" s="10" t="s">
        <v>272</v>
      </c>
      <c r="C150" s="10" t="s">
        <v>90</v>
      </c>
      <c r="D150" s="10" t="s">
        <v>91</v>
      </c>
      <c r="E150" s="10" t="s">
        <v>92</v>
      </c>
      <c r="F150" s="10" t="s">
        <v>136</v>
      </c>
      <c r="G150" s="11" t="n">
        <v>109</v>
      </c>
      <c r="H150" s="11"/>
      <c r="I150" s="11"/>
      <c r="J150" s="11"/>
      <c r="K150" s="10" t="str">
        <f aca="false">IF(ISNUMBER(J150),IF(J150&lt;10,"ультра-НЧ",IF(J150&lt;100,"НЧ",IF(J150&lt;=1000,"СЧ","ВЧ"))),IF(ISNUMBER(I150),IF(I150&lt;10,"ультра-НЧ",IF(I150&lt;100,"НЧ",IF(I150&lt;=1000,"СЧ","ВЧ"))),"нет данных"))</f>
        <v>нет данных</v>
      </c>
      <c r="L150" s="12" t="str">
        <f aca="false">IF(AND(ISNUMBER(G150),G150&gt;0,ISNUMBER(I150)),I150/G150,"")</f>
        <v/>
      </c>
      <c r="M150" s="10" t="s">
        <v>105</v>
      </c>
      <c r="N150" s="10" t="s">
        <v>272</v>
      </c>
      <c r="O150" s="10" t="s">
        <v>107</v>
      </c>
    </row>
    <row r="151" customFormat="false" ht="15" hidden="false" customHeight="false" outlineLevel="0" collapsed="false">
      <c r="A151" s="10" t="n">
        <v>150</v>
      </c>
      <c r="B151" s="10" t="s">
        <v>273</v>
      </c>
      <c r="C151" s="10" t="s">
        <v>90</v>
      </c>
      <c r="D151" s="10" t="s">
        <v>91</v>
      </c>
      <c r="E151" s="10" t="s">
        <v>92</v>
      </c>
      <c r="F151" s="10" t="s">
        <v>136</v>
      </c>
      <c r="G151" s="11" t="n">
        <v>108</v>
      </c>
      <c r="H151" s="11"/>
      <c r="I151" s="11"/>
      <c r="J151" s="11"/>
      <c r="K151" s="10" t="str">
        <f aca="false">IF(ISNUMBER(J151),IF(J151&lt;10,"ультра-НЧ",IF(J151&lt;100,"НЧ",IF(J151&lt;=1000,"СЧ","ВЧ"))),IF(ISNUMBER(I151),IF(I151&lt;10,"ультра-НЧ",IF(I151&lt;100,"НЧ",IF(I151&lt;=1000,"СЧ","ВЧ"))),"нет данных"))</f>
        <v>нет данных</v>
      </c>
      <c r="L151" s="12" t="str">
        <f aca="false">IF(AND(ISNUMBER(G151),G151&gt;0,ISNUMBER(I151)),I151/G151,"")</f>
        <v/>
      </c>
      <c r="M151" s="10" t="s">
        <v>105</v>
      </c>
      <c r="N151" s="10" t="s">
        <v>273</v>
      </c>
      <c r="O151" s="10" t="s">
        <v>107</v>
      </c>
    </row>
    <row r="152" customFormat="false" ht="15" hidden="false" customHeight="false" outlineLevel="0" collapsed="false">
      <c r="A152" s="10" t="n">
        <v>151</v>
      </c>
      <c r="B152" s="10" t="s">
        <v>274</v>
      </c>
      <c r="C152" s="10" t="s">
        <v>90</v>
      </c>
      <c r="D152" s="10" t="s">
        <v>91</v>
      </c>
      <c r="E152" s="10" t="s">
        <v>92</v>
      </c>
      <c r="F152" s="10" t="s">
        <v>136</v>
      </c>
      <c r="G152" s="11" t="n">
        <v>108</v>
      </c>
      <c r="H152" s="11"/>
      <c r="I152" s="11"/>
      <c r="J152" s="11"/>
      <c r="K152" s="10" t="str">
        <f aca="false">IF(ISNUMBER(J152),IF(J152&lt;10,"ультра-НЧ",IF(J152&lt;100,"НЧ",IF(J152&lt;=1000,"СЧ","ВЧ"))),IF(ISNUMBER(I152),IF(I152&lt;10,"ультра-НЧ",IF(I152&lt;100,"НЧ",IF(I152&lt;=1000,"СЧ","ВЧ"))),"нет данных"))</f>
        <v>нет данных</v>
      </c>
      <c r="L152" s="12" t="str">
        <f aca="false">IF(AND(ISNUMBER(G152),G152&gt;0,ISNUMBER(I152)),I152/G152,"")</f>
        <v/>
      </c>
      <c r="M152" s="10" t="s">
        <v>105</v>
      </c>
      <c r="N152" s="10" t="s">
        <v>274</v>
      </c>
      <c r="O152" s="10" t="s">
        <v>107</v>
      </c>
    </row>
    <row r="153" customFormat="false" ht="15" hidden="false" customHeight="false" outlineLevel="0" collapsed="false">
      <c r="A153" s="10" t="n">
        <v>152</v>
      </c>
      <c r="B153" s="10" t="s">
        <v>275</v>
      </c>
      <c r="C153" s="10" t="s">
        <v>90</v>
      </c>
      <c r="D153" s="10" t="s">
        <v>91</v>
      </c>
      <c r="E153" s="10" t="s">
        <v>92</v>
      </c>
      <c r="F153" s="10" t="s">
        <v>136</v>
      </c>
      <c r="G153" s="11" t="n">
        <v>106</v>
      </c>
      <c r="H153" s="11"/>
      <c r="I153" s="11"/>
      <c r="J153" s="11"/>
      <c r="K153" s="10" t="str">
        <f aca="false">IF(ISNUMBER(J153),IF(J153&lt;10,"ультра-НЧ",IF(J153&lt;100,"НЧ",IF(J153&lt;=1000,"СЧ","ВЧ"))),IF(ISNUMBER(I153),IF(I153&lt;10,"ультра-НЧ",IF(I153&lt;100,"НЧ",IF(I153&lt;=1000,"СЧ","ВЧ"))),"нет данных"))</f>
        <v>нет данных</v>
      </c>
      <c r="L153" s="12" t="str">
        <f aca="false">IF(AND(ISNUMBER(G153),G153&gt;0,ISNUMBER(I153)),I153/G153,"")</f>
        <v/>
      </c>
      <c r="M153" s="10" t="s">
        <v>105</v>
      </c>
      <c r="N153" s="10" t="s">
        <v>275</v>
      </c>
      <c r="O153" s="10" t="s">
        <v>107</v>
      </c>
    </row>
    <row r="154" customFormat="false" ht="15" hidden="false" customHeight="false" outlineLevel="0" collapsed="false">
      <c r="A154" s="10" t="n">
        <v>153</v>
      </c>
      <c r="B154" s="10" t="s">
        <v>276</v>
      </c>
      <c r="C154" s="10" t="s">
        <v>90</v>
      </c>
      <c r="D154" s="10" t="s">
        <v>91</v>
      </c>
      <c r="E154" s="10" t="s">
        <v>92</v>
      </c>
      <c r="F154" s="10" t="s">
        <v>136</v>
      </c>
      <c r="G154" s="11" t="n">
        <v>104</v>
      </c>
      <c r="H154" s="11"/>
      <c r="I154" s="11"/>
      <c r="J154" s="11"/>
      <c r="K154" s="10" t="str">
        <f aca="false">IF(ISNUMBER(J154),IF(J154&lt;10,"ультра-НЧ",IF(J154&lt;100,"НЧ",IF(J154&lt;=1000,"СЧ","ВЧ"))),IF(ISNUMBER(I154),IF(I154&lt;10,"ультра-НЧ",IF(I154&lt;100,"НЧ",IF(I154&lt;=1000,"СЧ","ВЧ"))),"нет данных"))</f>
        <v>нет данных</v>
      </c>
      <c r="L154" s="12" t="str">
        <f aca="false">IF(AND(ISNUMBER(G154),G154&gt;0,ISNUMBER(I154)),I154/G154,"")</f>
        <v/>
      </c>
      <c r="M154" s="10" t="s">
        <v>105</v>
      </c>
      <c r="N154" s="10" t="s">
        <v>277</v>
      </c>
      <c r="O154" s="10" t="s">
        <v>107</v>
      </c>
    </row>
    <row r="155" customFormat="false" ht="15" hidden="false" customHeight="false" outlineLevel="0" collapsed="false">
      <c r="A155" s="10" t="n">
        <v>154</v>
      </c>
      <c r="B155" s="10" t="s">
        <v>278</v>
      </c>
      <c r="C155" s="10" t="s">
        <v>90</v>
      </c>
      <c r="D155" s="10" t="s">
        <v>91</v>
      </c>
      <c r="E155" s="10" t="s">
        <v>92</v>
      </c>
      <c r="F155" s="10" t="s">
        <v>136</v>
      </c>
      <c r="G155" s="11" t="n">
        <v>104</v>
      </c>
      <c r="H155" s="11"/>
      <c r="I155" s="11"/>
      <c r="J155" s="11"/>
      <c r="K155" s="10" t="str">
        <f aca="false">IF(ISNUMBER(J155),IF(J155&lt;10,"ультра-НЧ",IF(J155&lt;100,"НЧ",IF(J155&lt;=1000,"СЧ","ВЧ"))),IF(ISNUMBER(I155),IF(I155&lt;10,"ультра-НЧ",IF(I155&lt;100,"НЧ",IF(I155&lt;=1000,"СЧ","ВЧ"))),"нет данных"))</f>
        <v>нет данных</v>
      </c>
      <c r="L155" s="12" t="str">
        <f aca="false">IF(AND(ISNUMBER(G155),G155&gt;0,ISNUMBER(I155)),I155/G155,"")</f>
        <v/>
      </c>
      <c r="M155" s="10" t="s">
        <v>105</v>
      </c>
      <c r="N155" s="10" t="s">
        <v>278</v>
      </c>
      <c r="O155" s="10" t="s">
        <v>107</v>
      </c>
    </row>
    <row r="156" customFormat="false" ht="15" hidden="false" customHeight="false" outlineLevel="0" collapsed="false">
      <c r="A156" s="10" t="n">
        <v>155</v>
      </c>
      <c r="B156" s="10" t="s">
        <v>279</v>
      </c>
      <c r="C156" s="10" t="s">
        <v>90</v>
      </c>
      <c r="D156" s="10" t="s">
        <v>91</v>
      </c>
      <c r="E156" s="10" t="s">
        <v>92</v>
      </c>
      <c r="F156" s="10" t="s">
        <v>136</v>
      </c>
      <c r="G156" s="11" t="n">
        <v>103</v>
      </c>
      <c r="H156" s="11"/>
      <c r="I156" s="11"/>
      <c r="J156" s="11"/>
      <c r="K156" s="10" t="str">
        <f aca="false">IF(ISNUMBER(J156),IF(J156&lt;10,"ультра-НЧ",IF(J156&lt;100,"НЧ",IF(J156&lt;=1000,"СЧ","ВЧ"))),IF(ISNUMBER(I156),IF(I156&lt;10,"ультра-НЧ",IF(I156&lt;100,"НЧ",IF(I156&lt;=1000,"СЧ","ВЧ"))),"нет данных"))</f>
        <v>нет данных</v>
      </c>
      <c r="L156" s="12" t="str">
        <f aca="false">IF(AND(ISNUMBER(G156),G156&gt;0,ISNUMBER(I156)),I156/G156,"")</f>
        <v/>
      </c>
      <c r="M156" s="10" t="s">
        <v>105</v>
      </c>
      <c r="N156" s="10" t="s">
        <v>280</v>
      </c>
      <c r="O156" s="10" t="s">
        <v>107</v>
      </c>
    </row>
    <row r="157" customFormat="false" ht="15" hidden="false" customHeight="false" outlineLevel="0" collapsed="false">
      <c r="A157" s="10" t="n">
        <v>156</v>
      </c>
      <c r="B157" s="10" t="s">
        <v>281</v>
      </c>
      <c r="C157" s="10" t="s">
        <v>90</v>
      </c>
      <c r="D157" s="10" t="s">
        <v>91</v>
      </c>
      <c r="E157" s="10" t="s">
        <v>92</v>
      </c>
      <c r="F157" s="10" t="s">
        <v>136</v>
      </c>
      <c r="G157" s="11" t="n">
        <v>102</v>
      </c>
      <c r="H157" s="11"/>
      <c r="I157" s="11"/>
      <c r="J157" s="11"/>
      <c r="K157" s="10" t="str">
        <f aca="false">IF(ISNUMBER(J157),IF(J157&lt;10,"ультра-НЧ",IF(J157&lt;100,"НЧ",IF(J157&lt;=1000,"СЧ","ВЧ"))),IF(ISNUMBER(I157),IF(I157&lt;10,"ультра-НЧ",IF(I157&lt;100,"НЧ",IF(I157&lt;=1000,"СЧ","ВЧ"))),"нет данных"))</f>
        <v>нет данных</v>
      </c>
      <c r="L157" s="12" t="str">
        <f aca="false">IF(AND(ISNUMBER(G157),G157&gt;0,ISNUMBER(I157)),I157/G157,"")</f>
        <v/>
      </c>
      <c r="M157" s="10" t="s">
        <v>105</v>
      </c>
      <c r="N157" s="10" t="s">
        <v>281</v>
      </c>
      <c r="O157" s="10" t="s">
        <v>107</v>
      </c>
    </row>
    <row r="158" customFormat="false" ht="15" hidden="false" customHeight="false" outlineLevel="0" collapsed="false">
      <c r="A158" s="10" t="n">
        <v>157</v>
      </c>
      <c r="B158" s="10" t="s">
        <v>282</v>
      </c>
      <c r="C158" s="10" t="s">
        <v>90</v>
      </c>
      <c r="D158" s="10" t="s">
        <v>91</v>
      </c>
      <c r="E158" s="10" t="s">
        <v>92</v>
      </c>
      <c r="F158" s="10" t="s">
        <v>136</v>
      </c>
      <c r="G158" s="11" t="n">
        <v>101</v>
      </c>
      <c r="H158" s="11"/>
      <c r="I158" s="11"/>
      <c r="J158" s="11"/>
      <c r="K158" s="10" t="str">
        <f aca="false">IF(ISNUMBER(J158),IF(J158&lt;10,"ультра-НЧ",IF(J158&lt;100,"НЧ",IF(J158&lt;=1000,"СЧ","ВЧ"))),IF(ISNUMBER(I158),IF(I158&lt;10,"ультра-НЧ",IF(I158&lt;100,"НЧ",IF(I158&lt;=1000,"СЧ","ВЧ"))),"нет данных"))</f>
        <v>нет данных</v>
      </c>
      <c r="L158" s="12" t="str">
        <f aca="false">IF(AND(ISNUMBER(G158),G158&gt;0,ISNUMBER(I158)),I158/G158,"")</f>
        <v/>
      </c>
      <c r="M158" s="10" t="s">
        <v>105</v>
      </c>
      <c r="N158" s="10" t="s">
        <v>282</v>
      </c>
      <c r="O158" s="10" t="s">
        <v>107</v>
      </c>
    </row>
    <row r="159" customFormat="false" ht="15" hidden="false" customHeight="false" outlineLevel="0" collapsed="false">
      <c r="A159" s="10" t="n">
        <v>158</v>
      </c>
      <c r="B159" s="10" t="s">
        <v>283</v>
      </c>
      <c r="C159" s="10" t="s">
        <v>90</v>
      </c>
      <c r="D159" s="10" t="s">
        <v>91</v>
      </c>
      <c r="E159" s="10" t="s">
        <v>92</v>
      </c>
      <c r="F159" s="10" t="s">
        <v>136</v>
      </c>
      <c r="G159" s="11" t="n">
        <v>101</v>
      </c>
      <c r="H159" s="11"/>
      <c r="I159" s="11"/>
      <c r="J159" s="11"/>
      <c r="K159" s="10" t="str">
        <f aca="false">IF(ISNUMBER(J159),IF(J159&lt;10,"ультра-НЧ",IF(J159&lt;100,"НЧ",IF(J159&lt;=1000,"СЧ","ВЧ"))),IF(ISNUMBER(I159),IF(I159&lt;10,"ультра-НЧ",IF(I159&lt;100,"НЧ",IF(I159&lt;=1000,"СЧ","ВЧ"))),"нет данных"))</f>
        <v>нет данных</v>
      </c>
      <c r="L159" s="12" t="str">
        <f aca="false">IF(AND(ISNUMBER(G159),G159&gt;0,ISNUMBER(I159)),I159/G159,"")</f>
        <v/>
      </c>
      <c r="M159" s="10" t="s">
        <v>105</v>
      </c>
      <c r="N159" s="10" t="s">
        <v>283</v>
      </c>
      <c r="O159" s="10" t="s">
        <v>107</v>
      </c>
    </row>
    <row r="160" customFormat="false" ht="15" hidden="false" customHeight="false" outlineLevel="0" collapsed="false">
      <c r="A160" s="10" t="n">
        <v>159</v>
      </c>
      <c r="B160" s="10" t="s">
        <v>284</v>
      </c>
      <c r="C160" s="10" t="s">
        <v>90</v>
      </c>
      <c r="D160" s="10" t="s">
        <v>91</v>
      </c>
      <c r="E160" s="10" t="s">
        <v>92</v>
      </c>
      <c r="F160" s="10" t="s">
        <v>136</v>
      </c>
      <c r="G160" s="11" t="n">
        <v>101</v>
      </c>
      <c r="H160" s="11"/>
      <c r="I160" s="11"/>
      <c r="J160" s="11"/>
      <c r="K160" s="10" t="str">
        <f aca="false">IF(ISNUMBER(J160),IF(J160&lt;10,"ультра-НЧ",IF(J160&lt;100,"НЧ",IF(J160&lt;=1000,"СЧ","ВЧ"))),IF(ISNUMBER(I160),IF(I160&lt;10,"ультра-НЧ",IF(I160&lt;100,"НЧ",IF(I160&lt;=1000,"СЧ","ВЧ"))),"нет данных"))</f>
        <v>нет данных</v>
      </c>
      <c r="L160" s="12" t="str">
        <f aca="false">IF(AND(ISNUMBER(G160),G160&gt;0,ISNUMBER(I160)),I160/G160,"")</f>
        <v/>
      </c>
      <c r="M160" s="10" t="s">
        <v>105</v>
      </c>
      <c r="N160" s="10" t="s">
        <v>284</v>
      </c>
      <c r="O160" s="10" t="s">
        <v>107</v>
      </c>
    </row>
    <row r="161" customFormat="false" ht="15" hidden="false" customHeight="false" outlineLevel="0" collapsed="false">
      <c r="A161" s="10" t="n">
        <v>160</v>
      </c>
      <c r="B161" s="10" t="s">
        <v>285</v>
      </c>
      <c r="C161" s="10" t="s">
        <v>90</v>
      </c>
      <c r="D161" s="10" t="s">
        <v>91</v>
      </c>
      <c r="E161" s="10" t="s">
        <v>92</v>
      </c>
      <c r="F161" s="10" t="s">
        <v>136</v>
      </c>
      <c r="G161" s="11" t="n">
        <v>100</v>
      </c>
      <c r="H161" s="11"/>
      <c r="I161" s="11"/>
      <c r="J161" s="11"/>
      <c r="K161" s="10" t="str">
        <f aca="false">IF(ISNUMBER(J161),IF(J161&lt;10,"ультра-НЧ",IF(J161&lt;100,"НЧ",IF(J161&lt;=1000,"СЧ","ВЧ"))),IF(ISNUMBER(I161),IF(I161&lt;10,"ультра-НЧ",IF(I161&lt;100,"НЧ",IF(I161&lt;=1000,"СЧ","ВЧ"))),"нет данных"))</f>
        <v>нет данных</v>
      </c>
      <c r="L161" s="12" t="str">
        <f aca="false">IF(AND(ISNUMBER(G161),G161&gt;0,ISNUMBER(I161)),I161/G161,"")</f>
        <v/>
      </c>
      <c r="M161" s="10" t="s">
        <v>105</v>
      </c>
      <c r="N161" s="10" t="s">
        <v>285</v>
      </c>
      <c r="O161" s="10" t="s">
        <v>107</v>
      </c>
    </row>
    <row r="162" customFormat="false" ht="15" hidden="false" customHeight="false" outlineLevel="0" collapsed="false">
      <c r="A162" s="10" t="n">
        <v>161</v>
      </c>
      <c r="B162" s="10" t="s">
        <v>286</v>
      </c>
      <c r="C162" s="10" t="s">
        <v>90</v>
      </c>
      <c r="D162" s="10" t="s">
        <v>91</v>
      </c>
      <c r="E162" s="10" t="s">
        <v>92</v>
      </c>
      <c r="F162" s="10" t="s">
        <v>136</v>
      </c>
      <c r="G162" s="11" t="n">
        <v>100</v>
      </c>
      <c r="H162" s="11"/>
      <c r="I162" s="11"/>
      <c r="J162" s="11"/>
      <c r="K162" s="10" t="str">
        <f aca="false">IF(ISNUMBER(J162),IF(J162&lt;10,"ультра-НЧ",IF(J162&lt;100,"НЧ",IF(J162&lt;=1000,"СЧ","ВЧ"))),IF(ISNUMBER(I162),IF(I162&lt;10,"ультра-НЧ",IF(I162&lt;100,"НЧ",IF(I162&lt;=1000,"СЧ","ВЧ"))),"нет данных"))</f>
        <v>нет данных</v>
      </c>
      <c r="L162" s="12" t="str">
        <f aca="false">IF(AND(ISNUMBER(G162),G162&gt;0,ISNUMBER(I162)),I162/G162,"")</f>
        <v/>
      </c>
      <c r="M162" s="10" t="s">
        <v>105</v>
      </c>
      <c r="N162" s="10" t="s">
        <v>287</v>
      </c>
      <c r="O162" s="10" t="s">
        <v>107</v>
      </c>
    </row>
    <row r="163" customFormat="false" ht="15" hidden="false" customHeight="false" outlineLevel="0" collapsed="false">
      <c r="A163" s="10" t="n">
        <v>162</v>
      </c>
      <c r="B163" s="10" t="s">
        <v>288</v>
      </c>
      <c r="C163" s="10" t="s">
        <v>90</v>
      </c>
      <c r="D163" s="10" t="s">
        <v>91</v>
      </c>
      <c r="E163" s="10" t="s">
        <v>92</v>
      </c>
      <c r="F163" s="10" t="s">
        <v>136</v>
      </c>
      <c r="G163" s="11" t="n">
        <v>98</v>
      </c>
      <c r="H163" s="11"/>
      <c r="I163" s="11"/>
      <c r="J163" s="11"/>
      <c r="K163" s="10" t="str">
        <f aca="false">IF(ISNUMBER(J163),IF(J163&lt;10,"ультра-НЧ",IF(J163&lt;100,"НЧ",IF(J163&lt;=1000,"СЧ","ВЧ"))),IF(ISNUMBER(I163),IF(I163&lt;10,"ультра-НЧ",IF(I163&lt;100,"НЧ",IF(I163&lt;=1000,"СЧ","ВЧ"))),"нет данных"))</f>
        <v>нет данных</v>
      </c>
      <c r="L163" s="12" t="str">
        <f aca="false">IF(AND(ISNUMBER(G163),G163&gt;0,ISNUMBER(I163)),I163/G163,"")</f>
        <v/>
      </c>
      <c r="M163" s="10" t="s">
        <v>105</v>
      </c>
      <c r="N163" s="10" t="s">
        <v>288</v>
      </c>
      <c r="O163" s="10" t="s">
        <v>107</v>
      </c>
    </row>
    <row r="164" customFormat="false" ht="15" hidden="false" customHeight="false" outlineLevel="0" collapsed="false">
      <c r="A164" s="10" t="n">
        <v>163</v>
      </c>
      <c r="B164" s="10" t="s">
        <v>289</v>
      </c>
      <c r="C164" s="10" t="s">
        <v>90</v>
      </c>
      <c r="D164" s="10" t="s">
        <v>91</v>
      </c>
      <c r="E164" s="10" t="s">
        <v>92</v>
      </c>
      <c r="F164" s="10" t="s">
        <v>136</v>
      </c>
      <c r="G164" s="11" t="n">
        <v>97</v>
      </c>
      <c r="H164" s="11"/>
      <c r="I164" s="11"/>
      <c r="J164" s="11"/>
      <c r="K164" s="10" t="str">
        <f aca="false">IF(ISNUMBER(J164),IF(J164&lt;10,"ультра-НЧ",IF(J164&lt;100,"НЧ",IF(J164&lt;=1000,"СЧ","ВЧ"))),IF(ISNUMBER(I164),IF(I164&lt;10,"ультра-НЧ",IF(I164&lt;100,"НЧ",IF(I164&lt;=1000,"СЧ","ВЧ"))),"нет данных"))</f>
        <v>нет данных</v>
      </c>
      <c r="L164" s="12" t="str">
        <f aca="false">IF(AND(ISNUMBER(G164),G164&gt;0,ISNUMBER(I164)),I164/G164,"")</f>
        <v/>
      </c>
      <c r="M164" s="10" t="s">
        <v>105</v>
      </c>
      <c r="N164" s="10" t="s">
        <v>289</v>
      </c>
      <c r="O164" s="10" t="s">
        <v>107</v>
      </c>
    </row>
    <row r="165" customFormat="false" ht="15" hidden="false" customHeight="false" outlineLevel="0" collapsed="false">
      <c r="A165" s="10" t="n">
        <v>164</v>
      </c>
      <c r="B165" s="10" t="s">
        <v>290</v>
      </c>
      <c r="C165" s="10" t="s">
        <v>90</v>
      </c>
      <c r="D165" s="10" t="s">
        <v>91</v>
      </c>
      <c r="E165" s="10" t="s">
        <v>92</v>
      </c>
      <c r="F165" s="10" t="s">
        <v>136</v>
      </c>
      <c r="G165" s="11" t="n">
        <v>97</v>
      </c>
      <c r="H165" s="11"/>
      <c r="I165" s="11"/>
      <c r="J165" s="11"/>
      <c r="K165" s="10" t="str">
        <f aca="false">IF(ISNUMBER(J165),IF(J165&lt;10,"ультра-НЧ",IF(J165&lt;100,"НЧ",IF(J165&lt;=1000,"СЧ","ВЧ"))),IF(ISNUMBER(I165),IF(I165&lt;10,"ультра-НЧ",IF(I165&lt;100,"НЧ",IF(I165&lt;=1000,"СЧ","ВЧ"))),"нет данных"))</f>
        <v>нет данных</v>
      </c>
      <c r="L165" s="12" t="str">
        <f aca="false">IF(AND(ISNUMBER(G165),G165&gt;0,ISNUMBER(I165)),I165/G165,"")</f>
        <v/>
      </c>
      <c r="M165" s="10" t="s">
        <v>105</v>
      </c>
      <c r="N165" s="10" t="s">
        <v>290</v>
      </c>
      <c r="O165" s="10" t="s">
        <v>107</v>
      </c>
    </row>
    <row r="166" customFormat="false" ht="15" hidden="false" customHeight="false" outlineLevel="0" collapsed="false">
      <c r="A166" s="10" t="n">
        <v>165</v>
      </c>
      <c r="B166" s="10" t="s">
        <v>291</v>
      </c>
      <c r="C166" s="10" t="s">
        <v>90</v>
      </c>
      <c r="D166" s="10" t="s">
        <v>91</v>
      </c>
      <c r="E166" s="10" t="s">
        <v>92</v>
      </c>
      <c r="F166" s="10" t="s">
        <v>136</v>
      </c>
      <c r="G166" s="11" t="n">
        <v>96</v>
      </c>
      <c r="H166" s="11"/>
      <c r="I166" s="11"/>
      <c r="J166" s="11"/>
      <c r="K166" s="10" t="str">
        <f aca="false">IF(ISNUMBER(J166),IF(J166&lt;10,"ультра-НЧ",IF(J166&lt;100,"НЧ",IF(J166&lt;=1000,"СЧ","ВЧ"))),IF(ISNUMBER(I166),IF(I166&lt;10,"ультра-НЧ",IF(I166&lt;100,"НЧ",IF(I166&lt;=1000,"СЧ","ВЧ"))),"нет данных"))</f>
        <v>нет данных</v>
      </c>
      <c r="L166" s="12" t="str">
        <f aca="false">IF(AND(ISNUMBER(G166),G166&gt;0,ISNUMBER(I166)),I166/G166,"")</f>
        <v/>
      </c>
      <c r="M166" s="10" t="s">
        <v>105</v>
      </c>
      <c r="N166" s="10" t="s">
        <v>291</v>
      </c>
      <c r="O166" s="10" t="s">
        <v>107</v>
      </c>
    </row>
    <row r="167" customFormat="false" ht="15" hidden="false" customHeight="false" outlineLevel="0" collapsed="false">
      <c r="A167" s="10" t="n">
        <v>166</v>
      </c>
      <c r="B167" s="10" t="s">
        <v>292</v>
      </c>
      <c r="C167" s="10" t="s">
        <v>90</v>
      </c>
      <c r="D167" s="10" t="s">
        <v>91</v>
      </c>
      <c r="E167" s="10" t="s">
        <v>92</v>
      </c>
      <c r="F167" s="10" t="s">
        <v>136</v>
      </c>
      <c r="G167" s="11" t="n">
        <v>95</v>
      </c>
      <c r="H167" s="11"/>
      <c r="I167" s="11"/>
      <c r="J167" s="11"/>
      <c r="K167" s="10" t="str">
        <f aca="false">IF(ISNUMBER(J167),IF(J167&lt;10,"ультра-НЧ",IF(J167&lt;100,"НЧ",IF(J167&lt;=1000,"СЧ","ВЧ"))),IF(ISNUMBER(I167),IF(I167&lt;10,"ультра-НЧ",IF(I167&lt;100,"НЧ",IF(I167&lt;=1000,"СЧ","ВЧ"))),"нет данных"))</f>
        <v>нет данных</v>
      </c>
      <c r="L167" s="12" t="str">
        <f aca="false">IF(AND(ISNUMBER(G167),G167&gt;0,ISNUMBER(I167)),I167/G167,"")</f>
        <v/>
      </c>
      <c r="M167" s="10" t="s">
        <v>105</v>
      </c>
      <c r="N167" s="10" t="s">
        <v>292</v>
      </c>
      <c r="O167" s="10" t="s">
        <v>107</v>
      </c>
    </row>
    <row r="168" customFormat="false" ht="15" hidden="false" customHeight="false" outlineLevel="0" collapsed="false">
      <c r="A168" s="10" t="n">
        <v>167</v>
      </c>
      <c r="B168" s="10" t="s">
        <v>293</v>
      </c>
      <c r="C168" s="10" t="s">
        <v>90</v>
      </c>
      <c r="D168" s="10" t="s">
        <v>91</v>
      </c>
      <c r="E168" s="10" t="s">
        <v>92</v>
      </c>
      <c r="F168" s="10" t="s">
        <v>136</v>
      </c>
      <c r="G168" s="11" t="n">
        <v>95</v>
      </c>
      <c r="H168" s="11"/>
      <c r="I168" s="11"/>
      <c r="J168" s="11"/>
      <c r="K168" s="10" t="str">
        <f aca="false">IF(ISNUMBER(J168),IF(J168&lt;10,"ультра-НЧ",IF(J168&lt;100,"НЧ",IF(J168&lt;=1000,"СЧ","ВЧ"))),IF(ISNUMBER(I168),IF(I168&lt;10,"ультра-НЧ",IF(I168&lt;100,"НЧ",IF(I168&lt;=1000,"СЧ","ВЧ"))),"нет данных"))</f>
        <v>нет данных</v>
      </c>
      <c r="L168" s="12" t="str">
        <f aca="false">IF(AND(ISNUMBER(G168),G168&gt;0,ISNUMBER(I168)),I168/G168,"")</f>
        <v/>
      </c>
      <c r="M168" s="10" t="s">
        <v>94</v>
      </c>
      <c r="N168" s="10" t="s">
        <v>293</v>
      </c>
      <c r="O168" s="10"/>
    </row>
    <row r="169" customFormat="false" ht="15" hidden="false" customHeight="false" outlineLevel="0" collapsed="false">
      <c r="A169" s="10" t="n">
        <v>168</v>
      </c>
      <c r="B169" s="10" t="s">
        <v>294</v>
      </c>
      <c r="C169" s="10" t="s">
        <v>90</v>
      </c>
      <c r="D169" s="10" t="s">
        <v>91</v>
      </c>
      <c r="E169" s="10" t="s">
        <v>92</v>
      </c>
      <c r="F169" s="10" t="s">
        <v>136</v>
      </c>
      <c r="G169" s="11" t="n">
        <v>95</v>
      </c>
      <c r="H169" s="11"/>
      <c r="I169" s="11"/>
      <c r="J169" s="11"/>
      <c r="K169" s="10" t="str">
        <f aca="false">IF(ISNUMBER(J169),IF(J169&lt;10,"ультра-НЧ",IF(J169&lt;100,"НЧ",IF(J169&lt;=1000,"СЧ","ВЧ"))),IF(ISNUMBER(I169),IF(I169&lt;10,"ультра-НЧ",IF(I169&lt;100,"НЧ",IF(I169&lt;=1000,"СЧ","ВЧ"))),"нет данных"))</f>
        <v>нет данных</v>
      </c>
      <c r="L169" s="12" t="str">
        <f aca="false">IF(AND(ISNUMBER(G169),G169&gt;0,ISNUMBER(I169)),I169/G169,"")</f>
        <v/>
      </c>
      <c r="M169" s="10" t="s">
        <v>94</v>
      </c>
      <c r="N169" s="10" t="s">
        <v>294</v>
      </c>
      <c r="O169" s="10"/>
    </row>
    <row r="170" customFormat="false" ht="15" hidden="false" customHeight="false" outlineLevel="0" collapsed="false">
      <c r="A170" s="10" t="n">
        <v>169</v>
      </c>
      <c r="B170" s="10" t="s">
        <v>295</v>
      </c>
      <c r="C170" s="10" t="s">
        <v>90</v>
      </c>
      <c r="D170" s="10" t="s">
        <v>91</v>
      </c>
      <c r="E170" s="10" t="s">
        <v>92</v>
      </c>
      <c r="F170" s="10" t="s">
        <v>136</v>
      </c>
      <c r="G170" s="11" t="n">
        <v>94</v>
      </c>
      <c r="H170" s="11"/>
      <c r="I170" s="11"/>
      <c r="J170" s="11"/>
      <c r="K170" s="10" t="str">
        <f aca="false">IF(ISNUMBER(J170),IF(J170&lt;10,"ультра-НЧ",IF(J170&lt;100,"НЧ",IF(J170&lt;=1000,"СЧ","ВЧ"))),IF(ISNUMBER(I170),IF(I170&lt;10,"ультра-НЧ",IF(I170&lt;100,"НЧ",IF(I170&lt;=1000,"СЧ","ВЧ"))),"нет данных"))</f>
        <v>нет данных</v>
      </c>
      <c r="L170" s="12" t="str">
        <f aca="false">IF(AND(ISNUMBER(G170),G170&gt;0,ISNUMBER(I170)),I170/G170,"")</f>
        <v/>
      </c>
      <c r="M170" s="10" t="s">
        <v>105</v>
      </c>
      <c r="N170" s="10" t="s">
        <v>295</v>
      </c>
      <c r="O170" s="10" t="s">
        <v>107</v>
      </c>
    </row>
    <row r="171" customFormat="false" ht="15" hidden="false" customHeight="false" outlineLevel="0" collapsed="false">
      <c r="A171" s="10" t="n">
        <v>170</v>
      </c>
      <c r="B171" s="10" t="s">
        <v>296</v>
      </c>
      <c r="C171" s="10" t="s">
        <v>90</v>
      </c>
      <c r="D171" s="10" t="s">
        <v>91</v>
      </c>
      <c r="E171" s="10" t="s">
        <v>92</v>
      </c>
      <c r="F171" s="10" t="s">
        <v>136</v>
      </c>
      <c r="G171" s="11" t="n">
        <v>94</v>
      </c>
      <c r="H171" s="11"/>
      <c r="I171" s="11"/>
      <c r="J171" s="11"/>
      <c r="K171" s="10" t="str">
        <f aca="false">IF(ISNUMBER(J171),IF(J171&lt;10,"ультра-НЧ",IF(J171&lt;100,"НЧ",IF(J171&lt;=1000,"СЧ","ВЧ"))),IF(ISNUMBER(I171),IF(I171&lt;10,"ультра-НЧ",IF(I171&lt;100,"НЧ",IF(I171&lt;=1000,"СЧ","ВЧ"))),"нет данных"))</f>
        <v>нет данных</v>
      </c>
      <c r="L171" s="12" t="str">
        <f aca="false">IF(AND(ISNUMBER(G171),G171&gt;0,ISNUMBER(I171)),I171/G171,"")</f>
        <v/>
      </c>
      <c r="M171" s="10" t="s">
        <v>105</v>
      </c>
      <c r="N171" s="10" t="s">
        <v>296</v>
      </c>
      <c r="O171" s="10" t="s">
        <v>107</v>
      </c>
    </row>
    <row r="172" customFormat="false" ht="15" hidden="false" customHeight="false" outlineLevel="0" collapsed="false">
      <c r="A172" s="10" t="n">
        <v>171</v>
      </c>
      <c r="B172" s="10" t="s">
        <v>297</v>
      </c>
      <c r="C172" s="10" t="s">
        <v>90</v>
      </c>
      <c r="D172" s="10" t="s">
        <v>91</v>
      </c>
      <c r="E172" s="10" t="s">
        <v>92</v>
      </c>
      <c r="F172" s="10" t="s">
        <v>136</v>
      </c>
      <c r="G172" s="11" t="n">
        <v>94</v>
      </c>
      <c r="H172" s="11"/>
      <c r="I172" s="11"/>
      <c r="J172" s="11"/>
      <c r="K172" s="10" t="str">
        <f aca="false">IF(ISNUMBER(J172),IF(J172&lt;10,"ультра-НЧ",IF(J172&lt;100,"НЧ",IF(J172&lt;=1000,"СЧ","ВЧ"))),IF(ISNUMBER(I172),IF(I172&lt;10,"ультра-НЧ",IF(I172&lt;100,"НЧ",IF(I172&lt;=1000,"СЧ","ВЧ"))),"нет данных"))</f>
        <v>нет данных</v>
      </c>
      <c r="L172" s="12" t="str">
        <f aca="false">IF(AND(ISNUMBER(G172),G172&gt;0,ISNUMBER(I172)),I172/G172,"")</f>
        <v/>
      </c>
      <c r="M172" s="10" t="s">
        <v>105</v>
      </c>
      <c r="N172" s="10" t="s">
        <v>297</v>
      </c>
      <c r="O172" s="10" t="s">
        <v>107</v>
      </c>
    </row>
    <row r="173" customFormat="false" ht="15" hidden="false" customHeight="false" outlineLevel="0" collapsed="false">
      <c r="A173" s="10" t="n">
        <v>172</v>
      </c>
      <c r="B173" s="10" t="s">
        <v>298</v>
      </c>
      <c r="C173" s="10" t="s">
        <v>90</v>
      </c>
      <c r="D173" s="10" t="s">
        <v>91</v>
      </c>
      <c r="E173" s="10" t="s">
        <v>92</v>
      </c>
      <c r="F173" s="10" t="s">
        <v>136</v>
      </c>
      <c r="G173" s="11" t="n">
        <v>94</v>
      </c>
      <c r="H173" s="11"/>
      <c r="I173" s="11"/>
      <c r="J173" s="11"/>
      <c r="K173" s="10" t="str">
        <f aca="false">IF(ISNUMBER(J173),IF(J173&lt;10,"ультра-НЧ",IF(J173&lt;100,"НЧ",IF(J173&lt;=1000,"СЧ","ВЧ"))),IF(ISNUMBER(I173),IF(I173&lt;10,"ультра-НЧ",IF(I173&lt;100,"НЧ",IF(I173&lt;=1000,"СЧ","ВЧ"))),"нет данных"))</f>
        <v>нет данных</v>
      </c>
      <c r="L173" s="12" t="str">
        <f aca="false">IF(AND(ISNUMBER(G173),G173&gt;0,ISNUMBER(I173)),I173/G173,"")</f>
        <v/>
      </c>
      <c r="M173" s="10" t="s">
        <v>105</v>
      </c>
      <c r="N173" s="10" t="s">
        <v>298</v>
      </c>
      <c r="O173" s="10" t="s">
        <v>107</v>
      </c>
    </row>
    <row r="174" customFormat="false" ht="15" hidden="false" customHeight="false" outlineLevel="0" collapsed="false">
      <c r="A174" s="10" t="n">
        <v>173</v>
      </c>
      <c r="B174" s="10" t="s">
        <v>299</v>
      </c>
      <c r="C174" s="10" t="s">
        <v>90</v>
      </c>
      <c r="D174" s="10" t="s">
        <v>91</v>
      </c>
      <c r="E174" s="10" t="s">
        <v>92</v>
      </c>
      <c r="F174" s="10" t="s">
        <v>136</v>
      </c>
      <c r="G174" s="11" t="n">
        <v>91</v>
      </c>
      <c r="H174" s="11"/>
      <c r="I174" s="11"/>
      <c r="J174" s="11"/>
      <c r="K174" s="10" t="str">
        <f aca="false">IF(ISNUMBER(J174),IF(J174&lt;10,"ультра-НЧ",IF(J174&lt;100,"НЧ",IF(J174&lt;=1000,"СЧ","ВЧ"))),IF(ISNUMBER(I174),IF(I174&lt;10,"ультра-НЧ",IF(I174&lt;100,"НЧ",IF(I174&lt;=1000,"СЧ","ВЧ"))),"нет данных"))</f>
        <v>нет данных</v>
      </c>
      <c r="L174" s="12" t="str">
        <f aca="false">IF(AND(ISNUMBER(G174),G174&gt;0,ISNUMBER(I174)),I174/G174,"")</f>
        <v/>
      </c>
      <c r="M174" s="10" t="s">
        <v>105</v>
      </c>
      <c r="N174" s="10" t="s">
        <v>300</v>
      </c>
      <c r="O174" s="10" t="s">
        <v>107</v>
      </c>
    </row>
    <row r="175" customFormat="false" ht="15" hidden="false" customHeight="false" outlineLevel="0" collapsed="false">
      <c r="A175" s="10" t="n">
        <v>174</v>
      </c>
      <c r="B175" s="10" t="s">
        <v>301</v>
      </c>
      <c r="C175" s="10" t="s">
        <v>90</v>
      </c>
      <c r="D175" s="10" t="s">
        <v>91</v>
      </c>
      <c r="E175" s="10" t="s">
        <v>92</v>
      </c>
      <c r="F175" s="10" t="s">
        <v>136</v>
      </c>
      <c r="G175" s="11" t="n">
        <v>90</v>
      </c>
      <c r="H175" s="11"/>
      <c r="I175" s="11"/>
      <c r="J175" s="11"/>
      <c r="K175" s="10" t="str">
        <f aca="false">IF(ISNUMBER(J175),IF(J175&lt;10,"ультра-НЧ",IF(J175&lt;100,"НЧ",IF(J175&lt;=1000,"СЧ","ВЧ"))),IF(ISNUMBER(I175),IF(I175&lt;10,"ультра-НЧ",IF(I175&lt;100,"НЧ",IF(I175&lt;=1000,"СЧ","ВЧ"))),"нет данных"))</f>
        <v>нет данных</v>
      </c>
      <c r="L175" s="12" t="str">
        <f aca="false">IF(AND(ISNUMBER(G175),G175&gt;0,ISNUMBER(I175)),I175/G175,"")</f>
        <v/>
      </c>
      <c r="M175" s="10" t="s">
        <v>105</v>
      </c>
      <c r="N175" s="10" t="s">
        <v>301</v>
      </c>
      <c r="O175" s="10" t="s">
        <v>107</v>
      </c>
    </row>
    <row r="176" customFormat="false" ht="15" hidden="false" customHeight="false" outlineLevel="0" collapsed="false">
      <c r="A176" s="10" t="n">
        <v>175</v>
      </c>
      <c r="B176" s="10" t="s">
        <v>302</v>
      </c>
      <c r="C176" s="10" t="s">
        <v>90</v>
      </c>
      <c r="D176" s="10" t="s">
        <v>91</v>
      </c>
      <c r="E176" s="10" t="s">
        <v>92</v>
      </c>
      <c r="F176" s="10" t="s">
        <v>136</v>
      </c>
      <c r="G176" s="11" t="n">
        <v>83</v>
      </c>
      <c r="H176" s="11"/>
      <c r="I176" s="11"/>
      <c r="J176" s="11"/>
      <c r="K176" s="10" t="str">
        <f aca="false">IF(ISNUMBER(J176),IF(J176&lt;10,"ультра-НЧ",IF(J176&lt;100,"НЧ",IF(J176&lt;=1000,"СЧ","ВЧ"))),IF(ISNUMBER(I176),IF(I176&lt;10,"ультра-НЧ",IF(I176&lt;100,"НЧ",IF(I176&lt;=1000,"СЧ","ВЧ"))),"нет данных"))</f>
        <v>нет данных</v>
      </c>
      <c r="L176" s="12" t="str">
        <f aca="false">IF(AND(ISNUMBER(G176),G176&gt;0,ISNUMBER(I176)),I176/G176,"")</f>
        <v/>
      </c>
      <c r="M176" s="10" t="s">
        <v>94</v>
      </c>
      <c r="N176" s="10" t="s">
        <v>303</v>
      </c>
      <c r="O176" s="10"/>
    </row>
    <row r="177" customFormat="false" ht="15" hidden="false" customHeight="false" outlineLevel="0" collapsed="false">
      <c r="A177" s="10" t="n">
        <v>176</v>
      </c>
      <c r="B177" s="10" t="s">
        <v>304</v>
      </c>
      <c r="C177" s="10" t="s">
        <v>90</v>
      </c>
      <c r="D177" s="10" t="s">
        <v>91</v>
      </c>
      <c r="E177" s="10" t="s">
        <v>92</v>
      </c>
      <c r="F177" s="10" t="s">
        <v>136</v>
      </c>
      <c r="G177" s="11" t="n">
        <v>80</v>
      </c>
      <c r="H177" s="11"/>
      <c r="I177" s="11"/>
      <c r="J177" s="11"/>
      <c r="K177" s="10" t="str">
        <f aca="false">IF(ISNUMBER(J177),IF(J177&lt;10,"ультра-НЧ",IF(J177&lt;100,"НЧ",IF(J177&lt;=1000,"СЧ","ВЧ"))),IF(ISNUMBER(I177),IF(I177&lt;10,"ультра-НЧ",IF(I177&lt;100,"НЧ",IF(I177&lt;=1000,"СЧ","ВЧ"))),"нет данных"))</f>
        <v>нет данных</v>
      </c>
      <c r="L177" s="12" t="str">
        <f aca="false">IF(AND(ISNUMBER(G177),G177&gt;0,ISNUMBER(I177)),I177/G177,"")</f>
        <v/>
      </c>
      <c r="M177" s="10" t="s">
        <v>105</v>
      </c>
      <c r="N177" s="10" t="s">
        <v>305</v>
      </c>
      <c r="O177" s="10" t="s">
        <v>107</v>
      </c>
    </row>
    <row r="178" customFormat="false" ht="15" hidden="false" customHeight="false" outlineLevel="0" collapsed="false">
      <c r="A178" s="10" t="n">
        <v>177</v>
      </c>
      <c r="B178" s="10" t="s">
        <v>306</v>
      </c>
      <c r="C178" s="10" t="s">
        <v>90</v>
      </c>
      <c r="D178" s="10" t="s">
        <v>91</v>
      </c>
      <c r="E178" s="10" t="s">
        <v>92</v>
      </c>
      <c r="F178" s="10" t="s">
        <v>136</v>
      </c>
      <c r="G178" s="11" t="n">
        <v>79</v>
      </c>
      <c r="H178" s="11"/>
      <c r="I178" s="11"/>
      <c r="J178" s="11"/>
      <c r="K178" s="10" t="str">
        <f aca="false">IF(ISNUMBER(J178),IF(J178&lt;10,"ультра-НЧ",IF(J178&lt;100,"НЧ",IF(J178&lt;=1000,"СЧ","ВЧ"))),IF(ISNUMBER(I178),IF(I178&lt;10,"ультра-НЧ",IF(I178&lt;100,"НЧ",IF(I178&lt;=1000,"СЧ","ВЧ"))),"нет данных"))</f>
        <v>нет данных</v>
      </c>
      <c r="L178" s="12" t="str">
        <f aca="false">IF(AND(ISNUMBER(G178),G178&gt;0,ISNUMBER(I178)),I178/G178,"")</f>
        <v/>
      </c>
      <c r="M178" s="10" t="s">
        <v>105</v>
      </c>
      <c r="N178" s="10" t="s">
        <v>307</v>
      </c>
      <c r="O178" s="10" t="s">
        <v>107</v>
      </c>
    </row>
    <row r="179" customFormat="false" ht="15" hidden="false" customHeight="false" outlineLevel="0" collapsed="false">
      <c r="A179" s="10" t="n">
        <v>178</v>
      </c>
      <c r="B179" s="10" t="s">
        <v>308</v>
      </c>
      <c r="C179" s="10" t="s">
        <v>90</v>
      </c>
      <c r="D179" s="10" t="s">
        <v>91</v>
      </c>
      <c r="E179" s="10" t="s">
        <v>92</v>
      </c>
      <c r="F179" s="10" t="s">
        <v>136</v>
      </c>
      <c r="G179" s="11" t="n">
        <v>76</v>
      </c>
      <c r="H179" s="11"/>
      <c r="I179" s="11"/>
      <c r="J179" s="11"/>
      <c r="K179" s="10" t="str">
        <f aca="false">IF(ISNUMBER(J179),IF(J179&lt;10,"ультра-НЧ",IF(J179&lt;100,"НЧ",IF(J179&lt;=1000,"СЧ","ВЧ"))),IF(ISNUMBER(I179),IF(I179&lt;10,"ультра-НЧ",IF(I179&lt;100,"НЧ",IF(I179&lt;=1000,"СЧ","ВЧ"))),"нет данных"))</f>
        <v>нет данных</v>
      </c>
      <c r="L179" s="12" t="str">
        <f aca="false">IF(AND(ISNUMBER(G179),G179&gt;0,ISNUMBER(I179)),I179/G179,"")</f>
        <v/>
      </c>
      <c r="M179" s="10" t="s">
        <v>94</v>
      </c>
      <c r="N179" s="10" t="s">
        <v>308</v>
      </c>
      <c r="O179" s="10"/>
    </row>
    <row r="180" customFormat="false" ht="15" hidden="false" customHeight="false" outlineLevel="0" collapsed="false">
      <c r="A180" s="10" t="n">
        <v>179</v>
      </c>
      <c r="B180" s="10" t="s">
        <v>309</v>
      </c>
      <c r="C180" s="10" t="s">
        <v>90</v>
      </c>
      <c r="D180" s="10" t="s">
        <v>91</v>
      </c>
      <c r="E180" s="10" t="s">
        <v>92</v>
      </c>
      <c r="F180" s="10" t="s">
        <v>136</v>
      </c>
      <c r="G180" s="11" t="n">
        <v>74</v>
      </c>
      <c r="H180" s="11"/>
      <c r="I180" s="11"/>
      <c r="J180" s="11"/>
      <c r="K180" s="10" t="str">
        <f aca="false">IF(ISNUMBER(J180),IF(J180&lt;10,"ультра-НЧ",IF(J180&lt;100,"НЧ",IF(J180&lt;=1000,"СЧ","ВЧ"))),IF(ISNUMBER(I180),IF(I180&lt;10,"ультра-НЧ",IF(I180&lt;100,"НЧ",IF(I180&lt;=1000,"СЧ","ВЧ"))),"нет данных"))</f>
        <v>нет данных</v>
      </c>
      <c r="L180" s="12" t="str">
        <f aca="false">IF(AND(ISNUMBER(G180),G180&gt;0,ISNUMBER(I180)),I180/G180,"")</f>
        <v/>
      </c>
      <c r="M180" s="10" t="s">
        <v>105</v>
      </c>
      <c r="N180" s="10" t="s">
        <v>310</v>
      </c>
      <c r="O180" s="10" t="s">
        <v>107</v>
      </c>
    </row>
    <row r="181" customFormat="false" ht="15" hidden="false" customHeight="false" outlineLevel="0" collapsed="false">
      <c r="A181" s="10" t="n">
        <v>180</v>
      </c>
      <c r="B181" s="10" t="s">
        <v>311</v>
      </c>
      <c r="C181" s="10" t="s">
        <v>90</v>
      </c>
      <c r="D181" s="10" t="s">
        <v>91</v>
      </c>
      <c r="E181" s="10" t="s">
        <v>92</v>
      </c>
      <c r="F181" s="10" t="s">
        <v>136</v>
      </c>
      <c r="G181" s="11" t="n">
        <v>73</v>
      </c>
      <c r="H181" s="11"/>
      <c r="I181" s="11"/>
      <c r="J181" s="11"/>
      <c r="K181" s="10" t="str">
        <f aca="false">IF(ISNUMBER(J181),IF(J181&lt;10,"ультра-НЧ",IF(J181&lt;100,"НЧ",IF(J181&lt;=1000,"СЧ","ВЧ"))),IF(ISNUMBER(I181),IF(I181&lt;10,"ультра-НЧ",IF(I181&lt;100,"НЧ",IF(I181&lt;=1000,"СЧ","ВЧ"))),"нет данных"))</f>
        <v>нет данных</v>
      </c>
      <c r="L181" s="12" t="str">
        <f aca="false">IF(AND(ISNUMBER(G181),G181&gt;0,ISNUMBER(I181)),I181/G181,"")</f>
        <v/>
      </c>
      <c r="M181" s="10" t="s">
        <v>105</v>
      </c>
      <c r="N181" s="10" t="s">
        <v>312</v>
      </c>
      <c r="O181" s="10" t="s">
        <v>107</v>
      </c>
    </row>
    <row r="182" customFormat="false" ht="15" hidden="false" customHeight="false" outlineLevel="0" collapsed="false">
      <c r="A182" s="10" t="n">
        <v>181</v>
      </c>
      <c r="B182" s="10" t="s">
        <v>313</v>
      </c>
      <c r="C182" s="10" t="s">
        <v>90</v>
      </c>
      <c r="D182" s="10" t="s">
        <v>91</v>
      </c>
      <c r="E182" s="10" t="s">
        <v>92</v>
      </c>
      <c r="F182" s="10" t="s">
        <v>136</v>
      </c>
      <c r="G182" s="11" t="n">
        <v>72</v>
      </c>
      <c r="H182" s="11"/>
      <c r="I182" s="11"/>
      <c r="J182" s="11"/>
      <c r="K182" s="10" t="str">
        <f aca="false">IF(ISNUMBER(J182),IF(J182&lt;10,"ультра-НЧ",IF(J182&lt;100,"НЧ",IF(J182&lt;=1000,"СЧ","ВЧ"))),IF(ISNUMBER(I182),IF(I182&lt;10,"ультра-НЧ",IF(I182&lt;100,"НЧ",IF(I182&lt;=1000,"СЧ","ВЧ"))),"нет данных"))</f>
        <v>нет данных</v>
      </c>
      <c r="L182" s="12" t="str">
        <f aca="false">IF(AND(ISNUMBER(G182),G182&gt;0,ISNUMBER(I182)),I182/G182,"")</f>
        <v/>
      </c>
      <c r="M182" s="10" t="s">
        <v>94</v>
      </c>
      <c r="N182" s="10" t="s">
        <v>314</v>
      </c>
      <c r="O182" s="10"/>
    </row>
    <row r="183" customFormat="false" ht="15" hidden="false" customHeight="false" outlineLevel="0" collapsed="false">
      <c r="A183" s="10" t="n">
        <v>182</v>
      </c>
      <c r="B183" s="10" t="s">
        <v>315</v>
      </c>
      <c r="C183" s="10" t="s">
        <v>90</v>
      </c>
      <c r="D183" s="10" t="s">
        <v>91</v>
      </c>
      <c r="E183" s="10" t="s">
        <v>92</v>
      </c>
      <c r="F183" s="10" t="s">
        <v>136</v>
      </c>
      <c r="G183" s="11" t="n">
        <v>66</v>
      </c>
      <c r="H183" s="11"/>
      <c r="I183" s="11"/>
      <c r="J183" s="11"/>
      <c r="K183" s="10" t="str">
        <f aca="false">IF(ISNUMBER(J183),IF(J183&lt;10,"ультра-НЧ",IF(J183&lt;100,"НЧ",IF(J183&lt;=1000,"СЧ","ВЧ"))),IF(ISNUMBER(I183),IF(I183&lt;10,"ультра-НЧ",IF(I183&lt;100,"НЧ",IF(I183&lt;=1000,"СЧ","ВЧ"))),"нет данных"))</f>
        <v>нет данных</v>
      </c>
      <c r="L183" s="12" t="str">
        <f aca="false">IF(AND(ISNUMBER(G183),G183&gt;0,ISNUMBER(I183)),I183/G183,"")</f>
        <v/>
      </c>
      <c r="M183" s="10" t="s">
        <v>105</v>
      </c>
      <c r="N183" s="10" t="s">
        <v>316</v>
      </c>
      <c r="O183" s="10" t="s">
        <v>107</v>
      </c>
    </row>
    <row r="184" customFormat="false" ht="15" hidden="false" customHeight="false" outlineLevel="0" collapsed="false">
      <c r="A184" s="10" t="n">
        <v>183</v>
      </c>
      <c r="B184" s="10" t="s">
        <v>317</v>
      </c>
      <c r="C184" s="10" t="s">
        <v>90</v>
      </c>
      <c r="D184" s="10" t="s">
        <v>91</v>
      </c>
      <c r="E184" s="10" t="s">
        <v>92</v>
      </c>
      <c r="F184" s="10" t="s">
        <v>136</v>
      </c>
      <c r="G184" s="11" t="n">
        <v>57</v>
      </c>
      <c r="H184" s="11"/>
      <c r="I184" s="11"/>
      <c r="J184" s="11"/>
      <c r="K184" s="10" t="str">
        <f aca="false">IF(ISNUMBER(J184),IF(J184&lt;10,"ультра-НЧ",IF(J184&lt;100,"НЧ",IF(J184&lt;=1000,"СЧ","ВЧ"))),IF(ISNUMBER(I184),IF(I184&lt;10,"ультра-НЧ",IF(I184&lt;100,"НЧ",IF(I184&lt;=1000,"СЧ","ВЧ"))),"нет данных"))</f>
        <v>нет данных</v>
      </c>
      <c r="L184" s="12" t="str">
        <f aca="false">IF(AND(ISNUMBER(G184),G184&gt;0,ISNUMBER(I184)),I184/G184,"")</f>
        <v/>
      </c>
      <c r="M184" s="10" t="s">
        <v>105</v>
      </c>
      <c r="N184" s="10" t="s">
        <v>318</v>
      </c>
      <c r="O184" s="10" t="s">
        <v>107</v>
      </c>
    </row>
    <row r="185" customFormat="false" ht="15" hidden="false" customHeight="false" outlineLevel="0" collapsed="false">
      <c r="A185" s="10" t="n">
        <v>184</v>
      </c>
      <c r="B185" s="10" t="s">
        <v>319</v>
      </c>
      <c r="C185" s="10" t="s">
        <v>90</v>
      </c>
      <c r="D185" s="10" t="s">
        <v>91</v>
      </c>
      <c r="E185" s="10" t="s">
        <v>92</v>
      </c>
      <c r="F185" s="10" t="s">
        <v>136</v>
      </c>
      <c r="G185" s="11" t="n">
        <v>57</v>
      </c>
      <c r="H185" s="11"/>
      <c r="I185" s="11"/>
      <c r="J185" s="11"/>
      <c r="K185" s="10" t="str">
        <f aca="false">IF(ISNUMBER(J185),IF(J185&lt;10,"ультра-НЧ",IF(J185&lt;100,"НЧ",IF(J185&lt;=1000,"СЧ","ВЧ"))),IF(ISNUMBER(I185),IF(I185&lt;10,"ультра-НЧ",IF(I185&lt;100,"НЧ",IF(I185&lt;=1000,"СЧ","ВЧ"))),"нет данных"))</f>
        <v>нет данных</v>
      </c>
      <c r="L185" s="12" t="str">
        <f aca="false">IF(AND(ISNUMBER(G185),G185&gt;0,ISNUMBER(I185)),I185/G185,"")</f>
        <v/>
      </c>
      <c r="M185" s="10" t="s">
        <v>105</v>
      </c>
      <c r="N185" s="10" t="s">
        <v>320</v>
      </c>
      <c r="O185" s="10" t="s">
        <v>107</v>
      </c>
    </row>
    <row r="186" customFormat="false" ht="15" hidden="false" customHeight="false" outlineLevel="0" collapsed="false">
      <c r="A186" s="10" t="n">
        <v>185</v>
      </c>
      <c r="B186" s="10" t="s">
        <v>321</v>
      </c>
      <c r="C186" s="10" t="s">
        <v>90</v>
      </c>
      <c r="D186" s="10" t="s">
        <v>91</v>
      </c>
      <c r="E186" s="10" t="s">
        <v>92</v>
      </c>
      <c r="F186" s="10" t="s">
        <v>136</v>
      </c>
      <c r="G186" s="11" t="n">
        <v>52</v>
      </c>
      <c r="H186" s="11"/>
      <c r="I186" s="11"/>
      <c r="J186" s="11"/>
      <c r="K186" s="10" t="str">
        <f aca="false">IF(ISNUMBER(J186),IF(J186&lt;10,"ультра-НЧ",IF(J186&lt;100,"НЧ",IF(J186&lt;=1000,"СЧ","ВЧ"))),IF(ISNUMBER(I186),IF(I186&lt;10,"ультра-НЧ",IF(I186&lt;100,"НЧ",IF(I186&lt;=1000,"СЧ","ВЧ"))),"нет данных"))</f>
        <v>нет данных</v>
      </c>
      <c r="L186" s="12" t="str">
        <f aca="false">IF(AND(ISNUMBER(G186),G186&gt;0,ISNUMBER(I186)),I186/G186,"")</f>
        <v/>
      </c>
      <c r="M186" s="10" t="s">
        <v>94</v>
      </c>
      <c r="N186" s="10" t="s">
        <v>321</v>
      </c>
      <c r="O186" s="10"/>
    </row>
    <row r="187" customFormat="false" ht="15" hidden="false" customHeight="false" outlineLevel="0" collapsed="false">
      <c r="A187" s="10" t="n">
        <v>186</v>
      </c>
      <c r="B187" s="10" t="s">
        <v>322</v>
      </c>
      <c r="C187" s="10" t="s">
        <v>90</v>
      </c>
      <c r="D187" s="10" t="s">
        <v>91</v>
      </c>
      <c r="E187" s="10" t="s">
        <v>92</v>
      </c>
      <c r="F187" s="10" t="s">
        <v>136</v>
      </c>
      <c r="G187" s="11" t="n">
        <v>46</v>
      </c>
      <c r="H187" s="11"/>
      <c r="I187" s="11"/>
      <c r="J187" s="11"/>
      <c r="K187" s="10" t="str">
        <f aca="false">IF(ISNUMBER(J187),IF(J187&lt;10,"ультра-НЧ",IF(J187&lt;100,"НЧ",IF(J187&lt;=1000,"СЧ","ВЧ"))),IF(ISNUMBER(I187),IF(I187&lt;10,"ультра-НЧ",IF(I187&lt;100,"НЧ",IF(I187&lt;=1000,"СЧ","ВЧ"))),"нет данных"))</f>
        <v>нет данных</v>
      </c>
      <c r="L187" s="12" t="str">
        <f aca="false">IF(AND(ISNUMBER(G187),G187&gt;0,ISNUMBER(I187)),I187/G187,"")</f>
        <v/>
      </c>
      <c r="M187" s="10" t="s">
        <v>105</v>
      </c>
      <c r="N187" s="10" t="s">
        <v>323</v>
      </c>
      <c r="O187" s="10" t="s">
        <v>107</v>
      </c>
    </row>
    <row r="188" customFormat="false" ht="15" hidden="false" customHeight="false" outlineLevel="0" collapsed="false">
      <c r="A188" s="10" t="n">
        <v>187</v>
      </c>
      <c r="B188" s="10" t="s">
        <v>324</v>
      </c>
      <c r="C188" s="10" t="s">
        <v>90</v>
      </c>
      <c r="D188" s="10" t="s">
        <v>91</v>
      </c>
      <c r="E188" s="10" t="s">
        <v>92</v>
      </c>
      <c r="F188" s="10" t="s">
        <v>136</v>
      </c>
      <c r="G188" s="11" t="n">
        <v>46</v>
      </c>
      <c r="H188" s="11"/>
      <c r="I188" s="11"/>
      <c r="J188" s="11"/>
      <c r="K188" s="10" t="str">
        <f aca="false">IF(ISNUMBER(J188),IF(J188&lt;10,"ультра-НЧ",IF(J188&lt;100,"НЧ",IF(J188&lt;=1000,"СЧ","ВЧ"))),IF(ISNUMBER(I188),IF(I188&lt;10,"ультра-НЧ",IF(I188&lt;100,"НЧ",IF(I188&lt;=1000,"СЧ","ВЧ"))),"нет данных"))</f>
        <v>нет данных</v>
      </c>
      <c r="L188" s="12" t="str">
        <f aca="false">IF(AND(ISNUMBER(G188),G188&gt;0,ISNUMBER(I188)),I188/G188,"")</f>
        <v/>
      </c>
      <c r="M188" s="10" t="s">
        <v>94</v>
      </c>
      <c r="N188" s="10" t="s">
        <v>324</v>
      </c>
      <c r="O188" s="10"/>
    </row>
    <row r="189" customFormat="false" ht="15" hidden="false" customHeight="false" outlineLevel="0" collapsed="false">
      <c r="A189" s="10" t="n">
        <v>188</v>
      </c>
      <c r="B189" s="10" t="s">
        <v>325</v>
      </c>
      <c r="C189" s="10" t="s">
        <v>90</v>
      </c>
      <c r="D189" s="10" t="s">
        <v>91</v>
      </c>
      <c r="E189" s="10" t="s">
        <v>92</v>
      </c>
      <c r="F189" s="10" t="s">
        <v>136</v>
      </c>
      <c r="G189" s="11" t="n">
        <v>45</v>
      </c>
      <c r="H189" s="11"/>
      <c r="I189" s="11"/>
      <c r="J189" s="11"/>
      <c r="K189" s="10" t="str">
        <f aca="false">IF(ISNUMBER(J189),IF(J189&lt;10,"ультра-НЧ",IF(J189&lt;100,"НЧ",IF(J189&lt;=1000,"СЧ","ВЧ"))),IF(ISNUMBER(I189),IF(I189&lt;10,"ультра-НЧ",IF(I189&lt;100,"НЧ",IF(I189&lt;=1000,"СЧ","ВЧ"))),"нет данных"))</f>
        <v>нет данных</v>
      </c>
      <c r="L189" s="12" t="str">
        <f aca="false">IF(AND(ISNUMBER(G189),G189&gt;0,ISNUMBER(I189)),I189/G189,"")</f>
        <v/>
      </c>
      <c r="M189" s="10" t="s">
        <v>105</v>
      </c>
      <c r="N189" s="10" t="s">
        <v>326</v>
      </c>
      <c r="O189" s="10" t="s">
        <v>107</v>
      </c>
    </row>
    <row r="190" customFormat="false" ht="15" hidden="false" customHeight="false" outlineLevel="0" collapsed="false">
      <c r="A190" s="10" t="n">
        <v>189</v>
      </c>
      <c r="B190" s="10" t="s">
        <v>327</v>
      </c>
      <c r="C190" s="10" t="s">
        <v>90</v>
      </c>
      <c r="D190" s="10" t="s">
        <v>91</v>
      </c>
      <c r="E190" s="10" t="s">
        <v>92</v>
      </c>
      <c r="F190" s="10" t="s">
        <v>136</v>
      </c>
      <c r="G190" s="11" t="n">
        <v>41</v>
      </c>
      <c r="H190" s="11"/>
      <c r="I190" s="11"/>
      <c r="J190" s="11"/>
      <c r="K190" s="10" t="str">
        <f aca="false">IF(ISNUMBER(J190),IF(J190&lt;10,"ультра-НЧ",IF(J190&lt;100,"НЧ",IF(J190&lt;=1000,"СЧ","ВЧ"))),IF(ISNUMBER(I190),IF(I190&lt;10,"ультра-НЧ",IF(I190&lt;100,"НЧ",IF(I190&lt;=1000,"СЧ","ВЧ"))),"нет данных"))</f>
        <v>нет данных</v>
      </c>
      <c r="L190" s="12" t="str">
        <f aca="false">IF(AND(ISNUMBER(G190),G190&gt;0,ISNUMBER(I190)),I190/G190,"")</f>
        <v/>
      </c>
      <c r="M190" s="10" t="s">
        <v>105</v>
      </c>
      <c r="N190" s="10" t="s">
        <v>328</v>
      </c>
      <c r="O190" s="10" t="s">
        <v>107</v>
      </c>
    </row>
    <row r="191" customFormat="false" ht="15" hidden="false" customHeight="false" outlineLevel="0" collapsed="false">
      <c r="A191" s="10" t="n">
        <v>190</v>
      </c>
      <c r="B191" s="10" t="s">
        <v>329</v>
      </c>
      <c r="C191" s="10" t="s">
        <v>90</v>
      </c>
      <c r="D191" s="10" t="s">
        <v>91</v>
      </c>
      <c r="E191" s="10" t="s">
        <v>92</v>
      </c>
      <c r="F191" s="10" t="s">
        <v>136</v>
      </c>
      <c r="G191" s="11" t="n">
        <v>40</v>
      </c>
      <c r="H191" s="11"/>
      <c r="I191" s="11"/>
      <c r="J191" s="11"/>
      <c r="K191" s="10" t="str">
        <f aca="false">IF(ISNUMBER(J191),IF(J191&lt;10,"ультра-НЧ",IF(J191&lt;100,"НЧ",IF(J191&lt;=1000,"СЧ","ВЧ"))),IF(ISNUMBER(I191),IF(I191&lt;10,"ультра-НЧ",IF(I191&lt;100,"НЧ",IF(I191&lt;=1000,"СЧ","ВЧ"))),"нет данных"))</f>
        <v>нет данных</v>
      </c>
      <c r="L191" s="12" t="str">
        <f aca="false">IF(AND(ISNUMBER(G191),G191&gt;0,ISNUMBER(I191)),I191/G191,"")</f>
        <v/>
      </c>
      <c r="M191" s="10" t="s">
        <v>94</v>
      </c>
      <c r="N191" s="10" t="s">
        <v>330</v>
      </c>
      <c r="O191" s="10"/>
    </row>
    <row r="192" customFormat="false" ht="15" hidden="false" customHeight="false" outlineLevel="0" collapsed="false">
      <c r="A192" s="10" t="n">
        <v>191</v>
      </c>
      <c r="B192" s="10" t="s">
        <v>331</v>
      </c>
      <c r="C192" s="10" t="s">
        <v>90</v>
      </c>
      <c r="D192" s="10" t="s">
        <v>91</v>
      </c>
      <c r="E192" s="10" t="s">
        <v>92</v>
      </c>
      <c r="F192" s="10" t="s">
        <v>136</v>
      </c>
      <c r="G192" s="11" t="n">
        <v>35</v>
      </c>
      <c r="H192" s="11"/>
      <c r="I192" s="11"/>
      <c r="J192" s="11"/>
      <c r="K192" s="10" t="str">
        <f aca="false">IF(ISNUMBER(J192),IF(J192&lt;10,"ультра-НЧ",IF(J192&lt;100,"НЧ",IF(J192&lt;=1000,"СЧ","ВЧ"))),IF(ISNUMBER(I192),IF(I192&lt;10,"ультра-НЧ",IF(I192&lt;100,"НЧ",IF(I192&lt;=1000,"СЧ","ВЧ"))),"нет данных"))</f>
        <v>нет данных</v>
      </c>
      <c r="L192" s="12" t="str">
        <f aca="false">IF(AND(ISNUMBER(G192),G192&gt;0,ISNUMBER(I192)),I192/G192,"")</f>
        <v/>
      </c>
      <c r="M192" s="10" t="s">
        <v>105</v>
      </c>
      <c r="N192" s="10" t="s">
        <v>331</v>
      </c>
      <c r="O192" s="10" t="s">
        <v>107</v>
      </c>
    </row>
    <row r="193" customFormat="false" ht="15" hidden="false" customHeight="false" outlineLevel="0" collapsed="false">
      <c r="A193" s="10" t="n">
        <v>192</v>
      </c>
      <c r="B193" s="10" t="s">
        <v>332</v>
      </c>
      <c r="C193" s="10" t="s">
        <v>90</v>
      </c>
      <c r="D193" s="10" t="s">
        <v>91</v>
      </c>
      <c r="E193" s="10" t="s">
        <v>92</v>
      </c>
      <c r="F193" s="10" t="s">
        <v>136</v>
      </c>
      <c r="G193" s="11" t="n">
        <v>31</v>
      </c>
      <c r="H193" s="11"/>
      <c r="I193" s="11"/>
      <c r="J193" s="11"/>
      <c r="K193" s="10" t="str">
        <f aca="false">IF(ISNUMBER(J193),IF(J193&lt;10,"ультра-НЧ",IF(J193&lt;100,"НЧ",IF(J193&lt;=1000,"СЧ","ВЧ"))),IF(ISNUMBER(I193),IF(I193&lt;10,"ультра-НЧ",IF(I193&lt;100,"НЧ",IF(I193&lt;=1000,"СЧ","ВЧ"))),"нет данных"))</f>
        <v>нет данных</v>
      </c>
      <c r="L193" s="12" t="str">
        <f aca="false">IF(AND(ISNUMBER(G193),G193&gt;0,ISNUMBER(I193)),I193/G193,"")</f>
        <v/>
      </c>
      <c r="M193" s="10" t="s">
        <v>94</v>
      </c>
      <c r="N193" s="10" t="s">
        <v>332</v>
      </c>
      <c r="O193" s="10"/>
    </row>
    <row r="194" customFormat="false" ht="15" hidden="false" customHeight="false" outlineLevel="0" collapsed="false">
      <c r="A194" s="10" t="n">
        <v>193</v>
      </c>
      <c r="B194" s="10" t="s">
        <v>333</v>
      </c>
      <c r="C194" s="10" t="s">
        <v>90</v>
      </c>
      <c r="D194" s="10" t="s">
        <v>91</v>
      </c>
      <c r="E194" s="10" t="s">
        <v>92</v>
      </c>
      <c r="F194" s="10" t="s">
        <v>136</v>
      </c>
      <c r="G194" s="11" t="n">
        <v>30</v>
      </c>
      <c r="H194" s="11"/>
      <c r="I194" s="11"/>
      <c r="J194" s="11"/>
      <c r="K194" s="10" t="str">
        <f aca="false">IF(ISNUMBER(J194),IF(J194&lt;10,"ультра-НЧ",IF(J194&lt;100,"НЧ",IF(J194&lt;=1000,"СЧ","ВЧ"))),IF(ISNUMBER(I194),IF(I194&lt;10,"ультра-НЧ",IF(I194&lt;100,"НЧ",IF(I194&lt;=1000,"СЧ","ВЧ"))),"нет данных"))</f>
        <v>нет данных</v>
      </c>
      <c r="L194" s="12" t="str">
        <f aca="false">IF(AND(ISNUMBER(G194),G194&gt;0,ISNUMBER(I194)),I194/G194,"")</f>
        <v/>
      </c>
      <c r="M194" s="10" t="s">
        <v>105</v>
      </c>
      <c r="N194" s="10" t="s">
        <v>334</v>
      </c>
      <c r="O194" s="10" t="s">
        <v>107</v>
      </c>
    </row>
    <row r="195" customFormat="false" ht="15" hidden="false" customHeight="false" outlineLevel="0" collapsed="false">
      <c r="A195" s="10" t="n">
        <v>194</v>
      </c>
      <c r="B195" s="10" t="s">
        <v>335</v>
      </c>
      <c r="C195" s="10" t="s">
        <v>90</v>
      </c>
      <c r="D195" s="10" t="s">
        <v>91</v>
      </c>
      <c r="E195" s="10" t="s">
        <v>92</v>
      </c>
      <c r="F195" s="10" t="s">
        <v>136</v>
      </c>
      <c r="G195" s="11" t="n">
        <v>29</v>
      </c>
      <c r="H195" s="11"/>
      <c r="I195" s="11"/>
      <c r="J195" s="11"/>
      <c r="K195" s="10" t="str">
        <f aca="false">IF(ISNUMBER(J195),IF(J195&lt;10,"ультра-НЧ",IF(J195&lt;100,"НЧ",IF(J195&lt;=1000,"СЧ","ВЧ"))),IF(ISNUMBER(I195),IF(I195&lt;10,"ультра-НЧ",IF(I195&lt;100,"НЧ",IF(I195&lt;=1000,"СЧ","ВЧ"))),"нет данных"))</f>
        <v>нет данных</v>
      </c>
      <c r="L195" s="12" t="str">
        <f aca="false">IF(AND(ISNUMBER(G195),G195&gt;0,ISNUMBER(I195)),I195/G195,"")</f>
        <v/>
      </c>
      <c r="M195" s="10" t="s">
        <v>94</v>
      </c>
      <c r="N195" s="10" t="s">
        <v>335</v>
      </c>
      <c r="O195" s="10"/>
    </row>
    <row r="196" customFormat="false" ht="15" hidden="false" customHeight="false" outlineLevel="0" collapsed="false">
      <c r="A196" s="10" t="n">
        <v>195</v>
      </c>
      <c r="B196" s="10" t="s">
        <v>336</v>
      </c>
      <c r="C196" s="10" t="s">
        <v>90</v>
      </c>
      <c r="D196" s="10" t="s">
        <v>91</v>
      </c>
      <c r="E196" s="10" t="s">
        <v>92</v>
      </c>
      <c r="F196" s="10" t="s">
        <v>136</v>
      </c>
      <c r="G196" s="11" t="n">
        <v>25</v>
      </c>
      <c r="H196" s="11"/>
      <c r="I196" s="11"/>
      <c r="J196" s="11"/>
      <c r="K196" s="10" t="str">
        <f aca="false">IF(ISNUMBER(J196),IF(J196&lt;10,"ультра-НЧ",IF(J196&lt;100,"НЧ",IF(J196&lt;=1000,"СЧ","ВЧ"))),IF(ISNUMBER(I196),IF(I196&lt;10,"ультра-НЧ",IF(I196&lt;100,"НЧ",IF(I196&lt;=1000,"СЧ","ВЧ"))),"нет данных"))</f>
        <v>нет данных</v>
      </c>
      <c r="L196" s="12" t="str">
        <f aca="false">IF(AND(ISNUMBER(G196),G196&gt;0,ISNUMBER(I196)),I196/G196,"")</f>
        <v/>
      </c>
      <c r="M196" s="10" t="s">
        <v>105</v>
      </c>
      <c r="N196" s="10" t="s">
        <v>337</v>
      </c>
      <c r="O196" s="10" t="s">
        <v>107</v>
      </c>
    </row>
    <row r="197" customFormat="false" ht="15" hidden="false" customHeight="false" outlineLevel="0" collapsed="false">
      <c r="A197" s="10" t="n">
        <v>196</v>
      </c>
      <c r="B197" s="10" t="s">
        <v>338</v>
      </c>
      <c r="C197" s="10" t="s">
        <v>90</v>
      </c>
      <c r="D197" s="10" t="s">
        <v>91</v>
      </c>
      <c r="E197" s="10" t="s">
        <v>92</v>
      </c>
      <c r="F197" s="10" t="s">
        <v>136</v>
      </c>
      <c r="G197" s="11" t="n">
        <v>25</v>
      </c>
      <c r="H197" s="11"/>
      <c r="I197" s="11"/>
      <c r="J197" s="11"/>
      <c r="K197" s="10" t="str">
        <f aca="false">IF(ISNUMBER(J197),IF(J197&lt;10,"ультра-НЧ",IF(J197&lt;100,"НЧ",IF(J197&lt;=1000,"СЧ","ВЧ"))),IF(ISNUMBER(I197),IF(I197&lt;10,"ультра-НЧ",IF(I197&lt;100,"НЧ",IF(I197&lt;=1000,"СЧ","ВЧ"))),"нет данных"))</f>
        <v>нет данных</v>
      </c>
      <c r="L197" s="12" t="str">
        <f aca="false">IF(AND(ISNUMBER(G197),G197&gt;0,ISNUMBER(I197)),I197/G197,"")</f>
        <v/>
      </c>
      <c r="M197" s="10" t="s">
        <v>105</v>
      </c>
      <c r="N197" s="10" t="s">
        <v>339</v>
      </c>
      <c r="O197" s="10" t="s">
        <v>107</v>
      </c>
    </row>
    <row r="198" customFormat="false" ht="15" hidden="false" customHeight="false" outlineLevel="0" collapsed="false">
      <c r="A198" s="10" t="n">
        <v>197</v>
      </c>
      <c r="B198" s="10" t="s">
        <v>340</v>
      </c>
      <c r="C198" s="10" t="s">
        <v>90</v>
      </c>
      <c r="D198" s="10" t="s">
        <v>91</v>
      </c>
      <c r="E198" s="10" t="s">
        <v>92</v>
      </c>
      <c r="F198" s="10" t="s">
        <v>136</v>
      </c>
      <c r="G198" s="11" t="n">
        <v>25</v>
      </c>
      <c r="H198" s="11"/>
      <c r="I198" s="11"/>
      <c r="J198" s="11"/>
      <c r="K198" s="10" t="str">
        <f aca="false">IF(ISNUMBER(J198),IF(J198&lt;10,"ультра-НЧ",IF(J198&lt;100,"НЧ",IF(J198&lt;=1000,"СЧ","ВЧ"))),IF(ISNUMBER(I198),IF(I198&lt;10,"ультра-НЧ",IF(I198&lt;100,"НЧ",IF(I198&lt;=1000,"СЧ","ВЧ"))),"нет данных"))</f>
        <v>нет данных</v>
      </c>
      <c r="L198" s="12" t="str">
        <f aca="false">IF(AND(ISNUMBER(G198),G198&gt;0,ISNUMBER(I198)),I198/G198,"")</f>
        <v/>
      </c>
      <c r="M198" s="10" t="s">
        <v>105</v>
      </c>
      <c r="N198" s="10" t="s">
        <v>341</v>
      </c>
      <c r="O198" s="10" t="s">
        <v>107</v>
      </c>
    </row>
    <row r="199" customFormat="false" ht="15" hidden="false" customHeight="false" outlineLevel="0" collapsed="false">
      <c r="A199" s="10" t="n">
        <v>198</v>
      </c>
      <c r="B199" s="10" t="s">
        <v>342</v>
      </c>
      <c r="C199" s="10" t="s">
        <v>90</v>
      </c>
      <c r="D199" s="10" t="s">
        <v>91</v>
      </c>
      <c r="E199" s="10" t="s">
        <v>92</v>
      </c>
      <c r="F199" s="10" t="s">
        <v>136</v>
      </c>
      <c r="G199" s="11" t="n">
        <v>24</v>
      </c>
      <c r="H199" s="11"/>
      <c r="I199" s="11"/>
      <c r="J199" s="11"/>
      <c r="K199" s="10" t="str">
        <f aca="false">IF(ISNUMBER(J199),IF(J199&lt;10,"ультра-НЧ",IF(J199&lt;100,"НЧ",IF(J199&lt;=1000,"СЧ","ВЧ"))),IF(ISNUMBER(I199),IF(I199&lt;10,"ультра-НЧ",IF(I199&lt;100,"НЧ",IF(I199&lt;=1000,"СЧ","ВЧ"))),"нет данных"))</f>
        <v>нет данных</v>
      </c>
      <c r="L199" s="12" t="str">
        <f aca="false">IF(AND(ISNUMBER(G199),G199&gt;0,ISNUMBER(I199)),I199/G199,"")</f>
        <v/>
      </c>
      <c r="M199" s="10" t="s">
        <v>105</v>
      </c>
      <c r="N199" s="10" t="s">
        <v>343</v>
      </c>
      <c r="O199" s="10" t="s">
        <v>107</v>
      </c>
    </row>
    <row r="200" customFormat="false" ht="15" hidden="false" customHeight="false" outlineLevel="0" collapsed="false">
      <c r="A200" s="10" t="n">
        <v>199</v>
      </c>
      <c r="B200" s="10" t="s">
        <v>344</v>
      </c>
      <c r="C200" s="10" t="s">
        <v>90</v>
      </c>
      <c r="D200" s="10" t="s">
        <v>91</v>
      </c>
      <c r="E200" s="10" t="s">
        <v>92</v>
      </c>
      <c r="F200" s="10" t="s">
        <v>136</v>
      </c>
      <c r="G200" s="11" t="n">
        <v>24</v>
      </c>
      <c r="H200" s="11"/>
      <c r="I200" s="11"/>
      <c r="J200" s="11"/>
      <c r="K200" s="10" t="str">
        <f aca="false">IF(ISNUMBER(J200),IF(J200&lt;10,"ультра-НЧ",IF(J200&lt;100,"НЧ",IF(J200&lt;=1000,"СЧ","ВЧ"))),IF(ISNUMBER(I200),IF(I200&lt;10,"ультра-НЧ",IF(I200&lt;100,"НЧ",IF(I200&lt;=1000,"СЧ","ВЧ"))),"нет данных"))</f>
        <v>нет данных</v>
      </c>
      <c r="L200" s="12" t="str">
        <f aca="false">IF(AND(ISNUMBER(G200),G200&gt;0,ISNUMBER(I200)),I200/G200,"")</f>
        <v/>
      </c>
      <c r="M200" s="10" t="s">
        <v>94</v>
      </c>
      <c r="N200" s="10" t="s">
        <v>344</v>
      </c>
      <c r="O200" s="10"/>
    </row>
    <row r="201" customFormat="false" ht="15" hidden="false" customHeight="false" outlineLevel="0" collapsed="false">
      <c r="A201" s="10" t="n">
        <v>200</v>
      </c>
      <c r="B201" s="10" t="s">
        <v>345</v>
      </c>
      <c r="C201" s="10" t="s">
        <v>90</v>
      </c>
      <c r="D201" s="10" t="s">
        <v>91</v>
      </c>
      <c r="E201" s="10" t="s">
        <v>92</v>
      </c>
      <c r="F201" s="10" t="s">
        <v>136</v>
      </c>
      <c r="G201" s="11" t="n">
        <v>24</v>
      </c>
      <c r="H201" s="11"/>
      <c r="I201" s="11"/>
      <c r="J201" s="11"/>
      <c r="K201" s="10" t="str">
        <f aca="false">IF(ISNUMBER(J201),IF(J201&lt;10,"ультра-НЧ",IF(J201&lt;100,"НЧ",IF(J201&lt;=1000,"СЧ","ВЧ"))),IF(ISNUMBER(I201),IF(I201&lt;10,"ультра-НЧ",IF(I201&lt;100,"НЧ",IF(I201&lt;=1000,"СЧ","ВЧ"))),"нет данных"))</f>
        <v>нет данных</v>
      </c>
      <c r="L201" s="12" t="str">
        <f aca="false">IF(AND(ISNUMBER(G201),G201&gt;0,ISNUMBER(I201)),I201/G201,"")</f>
        <v/>
      </c>
      <c r="M201" s="10" t="s">
        <v>94</v>
      </c>
      <c r="N201" s="10" t="s">
        <v>345</v>
      </c>
      <c r="O201" s="10"/>
    </row>
    <row r="202" customFormat="false" ht="15" hidden="false" customHeight="false" outlineLevel="0" collapsed="false">
      <c r="A202" s="10" t="n">
        <v>201</v>
      </c>
      <c r="B202" s="10" t="s">
        <v>346</v>
      </c>
      <c r="C202" s="10" t="s">
        <v>90</v>
      </c>
      <c r="D202" s="10" t="s">
        <v>91</v>
      </c>
      <c r="E202" s="10" t="s">
        <v>92</v>
      </c>
      <c r="F202" s="10" t="s">
        <v>136</v>
      </c>
      <c r="G202" s="11" t="n">
        <v>22</v>
      </c>
      <c r="H202" s="11"/>
      <c r="I202" s="11"/>
      <c r="J202" s="11"/>
      <c r="K202" s="10" t="str">
        <f aca="false">IF(ISNUMBER(J202),IF(J202&lt;10,"ультра-НЧ",IF(J202&lt;100,"НЧ",IF(J202&lt;=1000,"СЧ","ВЧ"))),IF(ISNUMBER(I202),IF(I202&lt;10,"ультра-НЧ",IF(I202&lt;100,"НЧ",IF(I202&lt;=1000,"СЧ","ВЧ"))),"нет данных"))</f>
        <v>нет данных</v>
      </c>
      <c r="L202" s="12" t="str">
        <f aca="false">IF(AND(ISNUMBER(G202),G202&gt;0,ISNUMBER(I202)),I202/G202,"")</f>
        <v/>
      </c>
      <c r="M202" s="10" t="s">
        <v>105</v>
      </c>
      <c r="N202" s="10" t="s">
        <v>347</v>
      </c>
      <c r="O202" s="10" t="s">
        <v>107</v>
      </c>
    </row>
    <row r="203" customFormat="false" ht="15" hidden="false" customHeight="false" outlineLevel="0" collapsed="false">
      <c r="A203" s="10" t="n">
        <v>202</v>
      </c>
      <c r="B203" s="10" t="s">
        <v>348</v>
      </c>
      <c r="C203" s="10" t="s">
        <v>90</v>
      </c>
      <c r="D203" s="10" t="s">
        <v>91</v>
      </c>
      <c r="E203" s="10" t="s">
        <v>92</v>
      </c>
      <c r="F203" s="10" t="s">
        <v>136</v>
      </c>
      <c r="G203" s="11" t="n">
        <v>22</v>
      </c>
      <c r="H203" s="11"/>
      <c r="I203" s="11"/>
      <c r="J203" s="11"/>
      <c r="K203" s="10" t="str">
        <f aca="false">IF(ISNUMBER(J203),IF(J203&lt;10,"ультра-НЧ",IF(J203&lt;100,"НЧ",IF(J203&lt;=1000,"СЧ","ВЧ"))),IF(ISNUMBER(I203),IF(I203&lt;10,"ультра-НЧ",IF(I203&lt;100,"НЧ",IF(I203&lt;=1000,"СЧ","ВЧ"))),"нет данных"))</f>
        <v>нет данных</v>
      </c>
      <c r="L203" s="12" t="str">
        <f aca="false">IF(AND(ISNUMBER(G203),G203&gt;0,ISNUMBER(I203)),I203/G203,"")</f>
        <v/>
      </c>
      <c r="M203" s="10" t="s">
        <v>105</v>
      </c>
      <c r="N203" s="10" t="s">
        <v>349</v>
      </c>
      <c r="O203" s="10" t="s">
        <v>107</v>
      </c>
    </row>
    <row r="204" customFormat="false" ht="15" hidden="false" customHeight="false" outlineLevel="0" collapsed="false">
      <c r="A204" s="10" t="n">
        <v>203</v>
      </c>
      <c r="B204" s="10" t="s">
        <v>350</v>
      </c>
      <c r="C204" s="10" t="s">
        <v>90</v>
      </c>
      <c r="D204" s="10" t="s">
        <v>91</v>
      </c>
      <c r="E204" s="10" t="s">
        <v>92</v>
      </c>
      <c r="F204" s="10" t="s">
        <v>136</v>
      </c>
      <c r="G204" s="11" t="n">
        <v>21</v>
      </c>
      <c r="H204" s="11"/>
      <c r="I204" s="11"/>
      <c r="J204" s="11"/>
      <c r="K204" s="10" t="str">
        <f aca="false">IF(ISNUMBER(J204),IF(J204&lt;10,"ультра-НЧ",IF(J204&lt;100,"НЧ",IF(J204&lt;=1000,"СЧ","ВЧ"))),IF(ISNUMBER(I204),IF(I204&lt;10,"ультра-НЧ",IF(I204&lt;100,"НЧ",IF(I204&lt;=1000,"СЧ","ВЧ"))),"нет данных"))</f>
        <v>нет данных</v>
      </c>
      <c r="L204" s="12" t="str">
        <f aca="false">IF(AND(ISNUMBER(G204),G204&gt;0,ISNUMBER(I204)),I204/G204,"")</f>
        <v/>
      </c>
      <c r="M204" s="10" t="s">
        <v>105</v>
      </c>
      <c r="N204" s="10" t="s">
        <v>351</v>
      </c>
      <c r="O204" s="10" t="s">
        <v>107</v>
      </c>
    </row>
    <row r="205" customFormat="false" ht="15" hidden="false" customHeight="false" outlineLevel="0" collapsed="false">
      <c r="A205" s="10" t="n">
        <v>204</v>
      </c>
      <c r="B205" s="10" t="s">
        <v>352</v>
      </c>
      <c r="C205" s="10" t="s">
        <v>90</v>
      </c>
      <c r="D205" s="10" t="s">
        <v>91</v>
      </c>
      <c r="E205" s="10" t="s">
        <v>92</v>
      </c>
      <c r="F205" s="10" t="s">
        <v>136</v>
      </c>
      <c r="G205" s="11" t="n">
        <v>20</v>
      </c>
      <c r="H205" s="11"/>
      <c r="I205" s="11"/>
      <c r="J205" s="11"/>
      <c r="K205" s="10" t="str">
        <f aca="false">IF(ISNUMBER(J205),IF(J205&lt;10,"ультра-НЧ",IF(J205&lt;100,"НЧ",IF(J205&lt;=1000,"СЧ","ВЧ"))),IF(ISNUMBER(I205),IF(I205&lt;10,"ультра-НЧ",IF(I205&lt;100,"НЧ",IF(I205&lt;=1000,"СЧ","ВЧ"))),"нет данных"))</f>
        <v>нет данных</v>
      </c>
      <c r="L205" s="12" t="str">
        <f aca="false">IF(AND(ISNUMBER(G205),G205&gt;0,ISNUMBER(I205)),I205/G205,"")</f>
        <v/>
      </c>
      <c r="M205" s="10" t="s">
        <v>105</v>
      </c>
      <c r="N205" s="10" t="s">
        <v>353</v>
      </c>
      <c r="O205" s="10" t="s">
        <v>107</v>
      </c>
    </row>
    <row r="206" customFormat="false" ht="15" hidden="false" customHeight="false" outlineLevel="0" collapsed="false">
      <c r="A206" s="10" t="n">
        <v>205</v>
      </c>
      <c r="B206" s="10" t="s">
        <v>354</v>
      </c>
      <c r="C206" s="10" t="s">
        <v>90</v>
      </c>
      <c r="D206" s="10" t="s">
        <v>91</v>
      </c>
      <c r="E206" s="10" t="s">
        <v>92</v>
      </c>
      <c r="F206" s="10" t="s">
        <v>136</v>
      </c>
      <c r="G206" s="11" t="n">
        <v>20</v>
      </c>
      <c r="H206" s="11"/>
      <c r="I206" s="11"/>
      <c r="J206" s="11"/>
      <c r="K206" s="10" t="str">
        <f aca="false">IF(ISNUMBER(J206),IF(J206&lt;10,"ультра-НЧ",IF(J206&lt;100,"НЧ",IF(J206&lt;=1000,"СЧ","ВЧ"))),IF(ISNUMBER(I206),IF(I206&lt;10,"ультра-НЧ",IF(I206&lt;100,"НЧ",IF(I206&lt;=1000,"СЧ","ВЧ"))),"нет данных"))</f>
        <v>нет данных</v>
      </c>
      <c r="L206" s="12" t="str">
        <f aca="false">IF(AND(ISNUMBER(G206),G206&gt;0,ISNUMBER(I206)),I206/G206,"")</f>
        <v/>
      </c>
      <c r="M206" s="10" t="s">
        <v>105</v>
      </c>
      <c r="N206" s="10" t="s">
        <v>355</v>
      </c>
      <c r="O206" s="10" t="s">
        <v>107</v>
      </c>
    </row>
    <row r="207" customFormat="false" ht="15" hidden="false" customHeight="false" outlineLevel="0" collapsed="false">
      <c r="A207" s="10" t="n">
        <v>206</v>
      </c>
      <c r="B207" s="10" t="s">
        <v>356</v>
      </c>
      <c r="C207" s="10" t="s">
        <v>90</v>
      </c>
      <c r="D207" s="10" t="s">
        <v>91</v>
      </c>
      <c r="E207" s="10" t="s">
        <v>92</v>
      </c>
      <c r="F207" s="10" t="s">
        <v>123</v>
      </c>
      <c r="G207" s="11" t="n">
        <v>603</v>
      </c>
      <c r="H207" s="11"/>
      <c r="I207" s="11"/>
      <c r="J207" s="11" t="n">
        <v>17</v>
      </c>
      <c r="K207" s="10" t="str">
        <f aca="false">IF(ISNUMBER(J207),IF(J207&lt;10,"ультра-НЧ",IF(J207&lt;100,"НЧ",IF(J207&lt;=1000,"СЧ","ВЧ"))),IF(ISNUMBER(I207),IF(I207&lt;10,"ультра-НЧ",IF(I207&lt;100,"НЧ",IF(I207&lt;=1000,"СЧ","ВЧ"))),"нет данных"))</f>
        <v>НЧ</v>
      </c>
      <c r="L207" s="12" t="str">
        <f aca="false">IF(AND(ISNUMBER(G207),G207&gt;0,ISNUMBER(I207)),I207/G207,"")</f>
        <v/>
      </c>
      <c r="M207" s="10" t="s">
        <v>103</v>
      </c>
      <c r="N207" s="10" t="s">
        <v>357</v>
      </c>
      <c r="O207" s="10"/>
    </row>
    <row r="208" customFormat="false" ht="15" hidden="false" customHeight="false" outlineLevel="0" collapsed="false">
      <c r="A208" s="10" t="n">
        <v>207</v>
      </c>
      <c r="B208" s="10" t="s">
        <v>358</v>
      </c>
      <c r="C208" s="10" t="s">
        <v>90</v>
      </c>
      <c r="D208" s="10" t="s">
        <v>91</v>
      </c>
      <c r="E208" s="10" t="s">
        <v>92</v>
      </c>
      <c r="F208" s="10" t="s">
        <v>136</v>
      </c>
      <c r="G208" s="11"/>
      <c r="H208" s="11"/>
      <c r="I208" s="11" t="n">
        <v>6</v>
      </c>
      <c r="J208" s="11"/>
      <c r="K208" s="10" t="str">
        <f aca="false">IF(ISNUMBER(J208),IF(J208&lt;10,"ультра-НЧ",IF(J208&lt;100,"НЧ",IF(J208&lt;=1000,"СЧ","ВЧ"))),IF(ISNUMBER(I208),IF(I208&lt;10,"ультра-НЧ",IF(I208&lt;100,"НЧ",IF(I208&lt;=1000,"СЧ","ВЧ"))),"нет данных"))</f>
        <v>ультра-НЧ</v>
      </c>
      <c r="L208" s="12" t="str">
        <f aca="false">IF(AND(ISNUMBER(G208),G208&gt;0,ISNUMBER(I208)),I208/G208,"")</f>
        <v/>
      </c>
      <c r="M208" s="10" t="s">
        <v>105</v>
      </c>
      <c r="N208" s="10" t="s">
        <v>358</v>
      </c>
      <c r="O208" s="10" t="s">
        <v>107</v>
      </c>
    </row>
    <row r="209" customFormat="false" ht="15" hidden="false" customHeight="false" outlineLevel="0" collapsed="false">
      <c r="A209" s="10" t="n">
        <v>208</v>
      </c>
      <c r="B209" s="10" t="s">
        <v>359</v>
      </c>
      <c r="C209" s="10" t="s">
        <v>90</v>
      </c>
      <c r="D209" s="10" t="s">
        <v>91</v>
      </c>
      <c r="E209" s="10" t="s">
        <v>92</v>
      </c>
      <c r="F209" s="10" t="s">
        <v>136</v>
      </c>
      <c r="G209" s="11"/>
      <c r="H209" s="11"/>
      <c r="I209" s="11" t="n">
        <v>5</v>
      </c>
      <c r="J209" s="11"/>
      <c r="K209" s="10" t="str">
        <f aca="false">IF(ISNUMBER(J209),IF(J209&lt;10,"ультра-НЧ",IF(J209&lt;100,"НЧ",IF(J209&lt;=1000,"СЧ","ВЧ"))),IF(ISNUMBER(I209),IF(I209&lt;10,"ультра-НЧ",IF(I209&lt;100,"НЧ",IF(I209&lt;=1000,"СЧ","ВЧ"))),"нет данных"))</f>
        <v>ультра-НЧ</v>
      </c>
      <c r="L209" s="12" t="str">
        <f aca="false">IF(AND(ISNUMBER(G209),G209&gt;0,ISNUMBER(I209)),I209/G209,"")</f>
        <v/>
      </c>
      <c r="M209" s="10" t="s">
        <v>105</v>
      </c>
      <c r="N209" s="10" t="s">
        <v>360</v>
      </c>
      <c r="O209" s="10" t="s">
        <v>107</v>
      </c>
    </row>
    <row r="210" customFormat="false" ht="15" hidden="false" customHeight="false" outlineLevel="0" collapsed="false">
      <c r="A210" s="10" t="n">
        <v>209</v>
      </c>
      <c r="B210" s="10" t="s">
        <v>361</v>
      </c>
      <c r="C210" s="10" t="s">
        <v>90</v>
      </c>
      <c r="D210" s="10" t="s">
        <v>91</v>
      </c>
      <c r="E210" s="10" t="s">
        <v>92</v>
      </c>
      <c r="F210" s="10" t="s">
        <v>123</v>
      </c>
      <c r="G210" s="11" t="n">
        <v>45593</v>
      </c>
      <c r="H210" s="11"/>
      <c r="I210" s="11"/>
      <c r="J210" s="11" t="n">
        <v>3</v>
      </c>
      <c r="K210" s="10" t="str">
        <f aca="false">IF(ISNUMBER(J210),IF(J210&lt;10,"ультра-НЧ",IF(J210&lt;100,"НЧ",IF(J210&lt;=1000,"СЧ","ВЧ"))),IF(ISNUMBER(I210),IF(I210&lt;10,"ультра-НЧ",IF(I210&lt;100,"НЧ",IF(I210&lt;=1000,"СЧ","ВЧ"))),"нет данных"))</f>
        <v>ультра-НЧ</v>
      </c>
      <c r="L210" s="12" t="str">
        <f aca="false">IF(AND(ISNUMBER(G210),G210&gt;0,ISNUMBER(I210)),I210/G210,"")</f>
        <v/>
      </c>
      <c r="M210" s="10" t="s">
        <v>105</v>
      </c>
      <c r="N210" s="10" t="s">
        <v>361</v>
      </c>
      <c r="O210" s="10" t="s">
        <v>107</v>
      </c>
    </row>
    <row r="211" customFormat="false" ht="15" hidden="false" customHeight="false" outlineLevel="0" collapsed="false">
      <c r="A211" s="10" t="n">
        <v>210</v>
      </c>
      <c r="B211" s="10" t="s">
        <v>362</v>
      </c>
      <c r="C211" s="10" t="s">
        <v>90</v>
      </c>
      <c r="D211" s="10" t="s">
        <v>91</v>
      </c>
      <c r="E211" s="10" t="s">
        <v>92</v>
      </c>
      <c r="F211" s="10" t="s">
        <v>136</v>
      </c>
      <c r="G211" s="11" t="n">
        <v>339</v>
      </c>
      <c r="H211" s="11"/>
      <c r="I211" s="11" t="n">
        <v>3</v>
      </c>
      <c r="J211" s="11"/>
      <c r="K211" s="10" t="str">
        <f aca="false">IF(ISNUMBER(J211),IF(J211&lt;10,"ультра-НЧ",IF(J211&lt;100,"НЧ",IF(J211&lt;=1000,"СЧ","ВЧ"))),IF(ISNUMBER(I211),IF(I211&lt;10,"ультра-НЧ",IF(I211&lt;100,"НЧ",IF(I211&lt;=1000,"СЧ","ВЧ"))),"нет данных"))</f>
        <v>ультра-НЧ</v>
      </c>
      <c r="L211" s="12" t="n">
        <f aca="false">IF(AND(ISNUMBER(G211),G211&gt;0,ISNUMBER(I211)),I211/G211,"")</f>
        <v>0.00884955752212389</v>
      </c>
      <c r="M211" s="10" t="s">
        <v>103</v>
      </c>
      <c r="N211" s="10" t="s">
        <v>363</v>
      </c>
      <c r="O211" s="10"/>
    </row>
    <row r="212" customFormat="false" ht="15" hidden="false" customHeight="false" outlineLevel="0" collapsed="false">
      <c r="A212" s="10" t="n">
        <v>211</v>
      </c>
      <c r="B212" s="10" t="s">
        <v>364</v>
      </c>
      <c r="C212" s="10" t="s">
        <v>90</v>
      </c>
      <c r="D212" s="10" t="s">
        <v>91</v>
      </c>
      <c r="E212" s="10" t="s">
        <v>92</v>
      </c>
      <c r="F212" s="10" t="s">
        <v>136</v>
      </c>
      <c r="G212" s="11" t="n">
        <v>260</v>
      </c>
      <c r="H212" s="11"/>
      <c r="I212" s="11" t="n">
        <v>3</v>
      </c>
      <c r="J212" s="11"/>
      <c r="K212" s="10" t="str">
        <f aca="false">IF(ISNUMBER(J212),IF(J212&lt;10,"ультра-НЧ",IF(J212&lt;100,"НЧ",IF(J212&lt;=1000,"СЧ","ВЧ"))),IF(ISNUMBER(I212),IF(I212&lt;10,"ультра-НЧ",IF(I212&lt;100,"НЧ",IF(I212&lt;=1000,"СЧ","ВЧ"))),"нет данных"))</f>
        <v>ультра-НЧ</v>
      </c>
      <c r="L212" s="12" t="n">
        <f aca="false">IF(AND(ISNUMBER(G212),G212&gt;0,ISNUMBER(I212)),I212/G212,"")</f>
        <v>0.0115384615384615</v>
      </c>
      <c r="M212" s="10" t="s">
        <v>112</v>
      </c>
      <c r="N212" s="10" t="s">
        <v>364</v>
      </c>
      <c r="O212" s="10"/>
    </row>
    <row r="213" customFormat="false" ht="15" hidden="false" customHeight="false" outlineLevel="0" collapsed="false">
      <c r="A213" s="10" t="n">
        <v>212</v>
      </c>
      <c r="B213" s="10" t="s">
        <v>365</v>
      </c>
      <c r="C213" s="10" t="s">
        <v>90</v>
      </c>
      <c r="D213" s="10" t="s">
        <v>91</v>
      </c>
      <c r="E213" s="10" t="s">
        <v>92</v>
      </c>
      <c r="F213" s="10" t="s">
        <v>136</v>
      </c>
      <c r="G213" s="11" t="n">
        <v>104</v>
      </c>
      <c r="H213" s="11"/>
      <c r="I213" s="11" t="n">
        <v>3</v>
      </c>
      <c r="J213" s="11"/>
      <c r="K213" s="10" t="str">
        <f aca="false">IF(ISNUMBER(J213),IF(J213&lt;10,"ультра-НЧ",IF(J213&lt;100,"НЧ",IF(J213&lt;=1000,"СЧ","ВЧ"))),IF(ISNUMBER(I213),IF(I213&lt;10,"ультра-НЧ",IF(I213&lt;100,"НЧ",IF(I213&lt;=1000,"СЧ","ВЧ"))),"нет данных"))</f>
        <v>ультра-НЧ</v>
      </c>
      <c r="L213" s="12" t="n">
        <f aca="false">IF(AND(ISNUMBER(G213),G213&gt;0,ISNUMBER(I213)),I213/G213,"")</f>
        <v>0.0288461538461538</v>
      </c>
      <c r="M213" s="10" t="s">
        <v>112</v>
      </c>
      <c r="N213" s="10" t="s">
        <v>365</v>
      </c>
      <c r="O213" s="10"/>
    </row>
    <row r="214" customFormat="false" ht="15" hidden="false" customHeight="false" outlineLevel="0" collapsed="false">
      <c r="A214" s="10" t="n">
        <v>213</v>
      </c>
      <c r="B214" s="10" t="s">
        <v>366</v>
      </c>
      <c r="C214" s="10" t="s">
        <v>90</v>
      </c>
      <c r="D214" s="10" t="s">
        <v>91</v>
      </c>
      <c r="E214" s="10" t="s">
        <v>92</v>
      </c>
      <c r="F214" s="10" t="s">
        <v>136</v>
      </c>
      <c r="G214" s="11" t="n">
        <v>61</v>
      </c>
      <c r="H214" s="11"/>
      <c r="I214" s="11" t="n">
        <v>3</v>
      </c>
      <c r="J214" s="11"/>
      <c r="K214" s="10" t="str">
        <f aca="false">IF(ISNUMBER(J214),IF(J214&lt;10,"ультра-НЧ",IF(J214&lt;100,"НЧ",IF(J214&lt;=1000,"СЧ","ВЧ"))),IF(ISNUMBER(I214),IF(I214&lt;10,"ультра-НЧ",IF(I214&lt;100,"НЧ",IF(I214&lt;=1000,"СЧ","ВЧ"))),"нет данных"))</f>
        <v>ультра-НЧ</v>
      </c>
      <c r="L214" s="12" t="n">
        <f aca="false">IF(AND(ISNUMBER(G214),G214&gt;0,ISNUMBER(I214)),I214/G214,"")</f>
        <v>0.0491803278688525</v>
      </c>
      <c r="M214" s="10" t="s">
        <v>112</v>
      </c>
      <c r="N214" s="10" t="s">
        <v>366</v>
      </c>
      <c r="O214" s="10"/>
    </row>
    <row r="215" customFormat="false" ht="15" hidden="false" customHeight="false" outlineLevel="0" collapsed="false">
      <c r="A215" s="10" t="n">
        <v>214</v>
      </c>
      <c r="B215" s="10" t="s">
        <v>367</v>
      </c>
      <c r="C215" s="10" t="s">
        <v>90</v>
      </c>
      <c r="D215" s="10" t="s">
        <v>91</v>
      </c>
      <c r="E215" s="10" t="s">
        <v>92</v>
      </c>
      <c r="F215" s="10" t="s">
        <v>123</v>
      </c>
      <c r="G215" s="11" t="n">
        <v>1679</v>
      </c>
      <c r="H215" s="11"/>
      <c r="I215" s="11"/>
      <c r="J215" s="11" t="n">
        <v>2</v>
      </c>
      <c r="K215" s="10" t="str">
        <f aca="false">IF(ISNUMBER(J215),IF(J215&lt;10,"ультра-НЧ",IF(J215&lt;100,"НЧ",IF(J215&lt;=1000,"СЧ","ВЧ"))),IF(ISNUMBER(I215),IF(I215&lt;10,"ультра-НЧ",IF(I215&lt;100,"НЧ",IF(I215&lt;=1000,"СЧ","ВЧ"))),"нет данных"))</f>
        <v>ультра-НЧ</v>
      </c>
      <c r="L215" s="12" t="str">
        <f aca="false">IF(AND(ISNUMBER(G215),G215&gt;0,ISNUMBER(I215)),I215/G215,"")</f>
        <v/>
      </c>
      <c r="M215" s="10" t="s">
        <v>105</v>
      </c>
      <c r="N215" s="10" t="s">
        <v>368</v>
      </c>
      <c r="O215" s="10" t="s">
        <v>107</v>
      </c>
    </row>
    <row r="216" customFormat="false" ht="15" hidden="false" customHeight="false" outlineLevel="0" collapsed="false">
      <c r="A216" s="10" t="n">
        <v>215</v>
      </c>
      <c r="B216" s="10" t="s">
        <v>369</v>
      </c>
      <c r="C216" s="10" t="s">
        <v>90</v>
      </c>
      <c r="D216" s="10" t="s">
        <v>91</v>
      </c>
      <c r="E216" s="10" t="s">
        <v>92</v>
      </c>
      <c r="F216" s="10" t="s">
        <v>123</v>
      </c>
      <c r="G216" s="11" t="n">
        <v>944</v>
      </c>
      <c r="H216" s="11"/>
      <c r="I216" s="11"/>
      <c r="J216" s="11" t="n">
        <v>2</v>
      </c>
      <c r="K216" s="10" t="str">
        <f aca="false">IF(ISNUMBER(J216),IF(J216&lt;10,"ультра-НЧ",IF(J216&lt;100,"НЧ",IF(J216&lt;=1000,"СЧ","ВЧ"))),IF(ISNUMBER(I216),IF(I216&lt;10,"ультра-НЧ",IF(I216&lt;100,"НЧ",IF(I216&lt;=1000,"СЧ","ВЧ"))),"нет данных"))</f>
        <v>ультра-НЧ</v>
      </c>
      <c r="L216" s="12" t="str">
        <f aca="false">IF(AND(ISNUMBER(G216),G216&gt;0,ISNUMBER(I216)),I216/G216,"")</f>
        <v/>
      </c>
      <c r="M216" s="10" t="s">
        <v>105</v>
      </c>
      <c r="N216" s="10" t="s">
        <v>369</v>
      </c>
      <c r="O216" s="10" t="s">
        <v>107</v>
      </c>
    </row>
    <row r="217" customFormat="false" ht="15" hidden="false" customHeight="false" outlineLevel="0" collapsed="false">
      <c r="A217" s="10" t="n">
        <v>216</v>
      </c>
      <c r="B217" s="10" t="s">
        <v>370</v>
      </c>
      <c r="C217" s="10" t="s">
        <v>90</v>
      </c>
      <c r="D217" s="10" t="s">
        <v>91</v>
      </c>
      <c r="E217" s="10" t="s">
        <v>92</v>
      </c>
      <c r="F217" s="10" t="s">
        <v>136</v>
      </c>
      <c r="G217" s="11" t="n">
        <v>37</v>
      </c>
      <c r="H217" s="11"/>
      <c r="I217" s="11" t="n">
        <v>2</v>
      </c>
      <c r="J217" s="11"/>
      <c r="K217" s="10" t="str">
        <f aca="false">IF(ISNUMBER(J217),IF(J217&lt;10,"ультра-НЧ",IF(J217&lt;100,"НЧ",IF(J217&lt;=1000,"СЧ","ВЧ"))),IF(ISNUMBER(I217),IF(I217&lt;10,"ультра-НЧ",IF(I217&lt;100,"НЧ",IF(I217&lt;=1000,"СЧ","ВЧ"))),"нет данных"))</f>
        <v>ультра-НЧ</v>
      </c>
      <c r="L217" s="12" t="n">
        <f aca="false">IF(AND(ISNUMBER(G217),G217&gt;0,ISNUMBER(I217)),I217/G217,"")</f>
        <v>0.0540540540540541</v>
      </c>
      <c r="M217" s="10" t="s">
        <v>94</v>
      </c>
      <c r="N217" s="10" t="s">
        <v>371</v>
      </c>
      <c r="O217" s="10"/>
    </row>
    <row r="218" customFormat="false" ht="15" hidden="false" customHeight="false" outlineLevel="0" collapsed="false">
      <c r="A218" s="10" t="n">
        <v>217</v>
      </c>
      <c r="B218" s="10" t="s">
        <v>372</v>
      </c>
      <c r="C218" s="10" t="s">
        <v>90</v>
      </c>
      <c r="D218" s="10" t="s">
        <v>91</v>
      </c>
      <c r="E218" s="10" t="s">
        <v>92</v>
      </c>
      <c r="F218" s="10" t="s">
        <v>123</v>
      </c>
      <c r="G218" s="11" t="n">
        <v>299533</v>
      </c>
      <c r="H218" s="11"/>
      <c r="I218" s="11" t="n">
        <v>5201</v>
      </c>
      <c r="J218" s="11" t="n">
        <v>1</v>
      </c>
      <c r="K218" s="10" t="str">
        <f aca="false">IF(ISNUMBER(J218),IF(J218&lt;10,"ультра-НЧ",IF(J218&lt;100,"НЧ",IF(J218&lt;=1000,"СЧ","ВЧ"))),IF(ISNUMBER(I218),IF(I218&lt;10,"ультра-НЧ",IF(I218&lt;100,"НЧ",IF(I218&lt;=1000,"СЧ","ВЧ"))),"нет данных"))</f>
        <v>ультра-НЧ</v>
      </c>
      <c r="L218" s="12" t="n">
        <f aca="false">IF(AND(ISNUMBER(G218),G218&gt;0,ISNUMBER(I218)),I218/G218,"")</f>
        <v>0.0173636961536792</v>
      </c>
      <c r="M218" s="10" t="s">
        <v>105</v>
      </c>
      <c r="N218" s="10" t="s">
        <v>372</v>
      </c>
      <c r="O218" s="10" t="s">
        <v>107</v>
      </c>
    </row>
    <row r="219" customFormat="false" ht="15" hidden="false" customHeight="false" outlineLevel="0" collapsed="false">
      <c r="A219" s="10" t="n">
        <v>218</v>
      </c>
      <c r="B219" s="10" t="s">
        <v>373</v>
      </c>
      <c r="C219" s="10" t="s">
        <v>90</v>
      </c>
      <c r="D219" s="10" t="s">
        <v>91</v>
      </c>
      <c r="E219" s="10" t="s">
        <v>92</v>
      </c>
      <c r="F219" s="10" t="s">
        <v>123</v>
      </c>
      <c r="G219" s="11" t="n">
        <v>968</v>
      </c>
      <c r="H219" s="11"/>
      <c r="I219" s="11"/>
      <c r="J219" s="11" t="n">
        <v>1</v>
      </c>
      <c r="K219" s="10" t="str">
        <f aca="false">IF(ISNUMBER(J219),IF(J219&lt;10,"ультра-НЧ",IF(J219&lt;100,"НЧ",IF(J219&lt;=1000,"СЧ","ВЧ"))),IF(ISNUMBER(I219),IF(I219&lt;10,"ультра-НЧ",IF(I219&lt;100,"НЧ",IF(I219&lt;=1000,"СЧ","ВЧ"))),"нет данных"))</f>
        <v>ультра-НЧ</v>
      </c>
      <c r="L219" s="12" t="str">
        <f aca="false">IF(AND(ISNUMBER(G219),G219&gt;0,ISNUMBER(I219)),I219/G219,"")</f>
        <v/>
      </c>
      <c r="M219" s="10" t="s">
        <v>105</v>
      </c>
      <c r="N219" s="10" t="s">
        <v>373</v>
      </c>
      <c r="O219" s="10" t="s">
        <v>107</v>
      </c>
    </row>
    <row r="220" customFormat="false" ht="15" hidden="false" customHeight="false" outlineLevel="0" collapsed="false">
      <c r="A220" s="10" t="n">
        <v>219</v>
      </c>
      <c r="B220" s="10" t="s">
        <v>374</v>
      </c>
      <c r="C220" s="10" t="s">
        <v>90</v>
      </c>
      <c r="D220" s="10" t="s">
        <v>91</v>
      </c>
      <c r="E220" s="10" t="s">
        <v>92</v>
      </c>
      <c r="F220" s="10" t="s">
        <v>123</v>
      </c>
      <c r="G220" s="11" t="n">
        <v>590</v>
      </c>
      <c r="H220" s="11"/>
      <c r="I220" s="11"/>
      <c r="J220" s="11" t="n">
        <v>1</v>
      </c>
      <c r="K220" s="10" t="str">
        <f aca="false">IF(ISNUMBER(J220),IF(J220&lt;10,"ультра-НЧ",IF(J220&lt;100,"НЧ",IF(J220&lt;=1000,"СЧ","ВЧ"))),IF(ISNUMBER(I220),IF(I220&lt;10,"ультра-НЧ",IF(I220&lt;100,"НЧ",IF(I220&lt;=1000,"СЧ","ВЧ"))),"нет данных"))</f>
        <v>ультра-НЧ</v>
      </c>
      <c r="L220" s="12" t="str">
        <f aca="false">IF(AND(ISNUMBER(G220),G220&gt;0,ISNUMBER(I220)),I220/G220,"")</f>
        <v/>
      </c>
      <c r="M220" s="10" t="s">
        <v>105</v>
      </c>
      <c r="N220" s="10" t="s">
        <v>375</v>
      </c>
      <c r="O220" s="10" t="s">
        <v>107</v>
      </c>
    </row>
    <row r="221" customFormat="false" ht="15" hidden="false" customHeight="false" outlineLevel="0" collapsed="false">
      <c r="A221" s="10" t="n">
        <v>220</v>
      </c>
      <c r="B221" s="10" t="s">
        <v>376</v>
      </c>
      <c r="C221" s="10" t="s">
        <v>90</v>
      </c>
      <c r="D221" s="10" t="s">
        <v>91</v>
      </c>
      <c r="E221" s="10" t="s">
        <v>92</v>
      </c>
      <c r="F221" s="10" t="s">
        <v>136</v>
      </c>
      <c r="G221" s="11" t="n">
        <v>77</v>
      </c>
      <c r="H221" s="11"/>
      <c r="I221" s="11" t="n">
        <v>1</v>
      </c>
      <c r="J221" s="11"/>
      <c r="K221" s="10" t="str">
        <f aca="false">IF(ISNUMBER(J221),IF(J221&lt;10,"ультра-НЧ",IF(J221&lt;100,"НЧ",IF(J221&lt;=1000,"СЧ","ВЧ"))),IF(ISNUMBER(I221),IF(I221&lt;10,"ультра-НЧ",IF(I221&lt;100,"НЧ",IF(I221&lt;=1000,"СЧ","ВЧ"))),"нет данных"))</f>
        <v>ультра-НЧ</v>
      </c>
      <c r="L221" s="12" t="n">
        <f aca="false">IF(AND(ISNUMBER(G221),G221&gt;0,ISNUMBER(I221)),I221/G221,"")</f>
        <v>0.012987012987013</v>
      </c>
      <c r="M221" s="10" t="s">
        <v>94</v>
      </c>
      <c r="N221" s="10" t="s">
        <v>376</v>
      </c>
      <c r="O221" s="10"/>
    </row>
    <row r="222" customFormat="false" ht="15" hidden="false" customHeight="false" outlineLevel="0" collapsed="false">
      <c r="A222" s="10" t="n">
        <v>221</v>
      </c>
      <c r="B222" s="10" t="s">
        <v>377</v>
      </c>
      <c r="C222" s="10" t="s">
        <v>90</v>
      </c>
      <c r="D222" s="10" t="s">
        <v>91</v>
      </c>
      <c r="E222" s="10" t="s">
        <v>92</v>
      </c>
      <c r="F222" s="10" t="s">
        <v>136</v>
      </c>
      <c r="G222" s="11" t="n">
        <v>49</v>
      </c>
      <c r="H222" s="11"/>
      <c r="I222" s="11" t="n">
        <v>1</v>
      </c>
      <c r="J222" s="11"/>
      <c r="K222" s="10" t="str">
        <f aca="false">IF(ISNUMBER(J222),IF(J222&lt;10,"ультра-НЧ",IF(J222&lt;100,"НЧ",IF(J222&lt;=1000,"СЧ","ВЧ"))),IF(ISNUMBER(I222),IF(I222&lt;10,"ультра-НЧ",IF(I222&lt;100,"НЧ",IF(I222&lt;=1000,"СЧ","ВЧ"))),"нет данных"))</f>
        <v>ультра-НЧ</v>
      </c>
      <c r="L222" s="12" t="n">
        <f aca="false">IF(AND(ISNUMBER(G222),G222&gt;0,ISNUMBER(I222)),I222/G222,"")</f>
        <v>0.0204081632653061</v>
      </c>
      <c r="M222" s="10" t="s">
        <v>94</v>
      </c>
      <c r="N222" s="10" t="s">
        <v>378</v>
      </c>
      <c r="O222" s="10"/>
    </row>
    <row r="223" customFormat="false" ht="15" hidden="false" customHeight="false" outlineLevel="0" collapsed="false">
      <c r="A223" s="10" t="n">
        <v>222</v>
      </c>
      <c r="B223" s="10" t="s">
        <v>379</v>
      </c>
      <c r="C223" s="10" t="s">
        <v>90</v>
      </c>
      <c r="D223" s="10" t="s">
        <v>91</v>
      </c>
      <c r="E223" s="10" t="s">
        <v>92</v>
      </c>
      <c r="F223" s="10" t="s">
        <v>136</v>
      </c>
      <c r="G223" s="11" t="n">
        <v>29</v>
      </c>
      <c r="H223" s="11"/>
      <c r="I223" s="11" t="n">
        <v>1</v>
      </c>
      <c r="J223" s="11"/>
      <c r="K223" s="10" t="str">
        <f aca="false">IF(ISNUMBER(J223),IF(J223&lt;10,"ультра-НЧ",IF(J223&lt;100,"НЧ",IF(J223&lt;=1000,"СЧ","ВЧ"))),IF(ISNUMBER(I223),IF(I223&lt;10,"ультра-НЧ",IF(I223&lt;100,"НЧ",IF(I223&lt;=1000,"СЧ","ВЧ"))),"нет данных"))</f>
        <v>ультра-НЧ</v>
      </c>
      <c r="L223" s="12" t="n">
        <f aca="false">IF(AND(ISNUMBER(G223),G223&gt;0,ISNUMBER(I223)),I223/G223,"")</f>
        <v>0.0344827586206897</v>
      </c>
      <c r="M223" s="10" t="s">
        <v>94</v>
      </c>
      <c r="N223" s="10" t="s">
        <v>379</v>
      </c>
      <c r="O223" s="10"/>
    </row>
    <row r="224" customFormat="false" ht="15" hidden="false" customHeight="false" outlineLevel="0" collapsed="false">
      <c r="A224" s="10" t="n">
        <v>223</v>
      </c>
      <c r="B224" s="10" t="s">
        <v>380</v>
      </c>
      <c r="C224" s="10" t="s">
        <v>381</v>
      </c>
      <c r="D224" s="10" t="s">
        <v>382</v>
      </c>
      <c r="E224" s="10" t="s">
        <v>92</v>
      </c>
      <c r="F224" s="10" t="s">
        <v>93</v>
      </c>
      <c r="G224" s="11" t="n">
        <v>85</v>
      </c>
      <c r="H224" s="11" t="n">
        <v>0</v>
      </c>
      <c r="I224" s="11" t="n">
        <v>0</v>
      </c>
      <c r="J224" s="11" t="n">
        <v>0</v>
      </c>
      <c r="K224" s="10" t="str">
        <f aca="false">IF(ISNUMBER(J224),IF(J224&lt;10,"ультра-НЧ",IF(J224&lt;100,"НЧ",IF(J224&lt;=1000,"СЧ","ВЧ"))),IF(ISNUMBER(I224),IF(I224&lt;10,"ультра-НЧ",IF(I224&lt;100,"НЧ",IF(I224&lt;=1000,"СЧ","ВЧ"))),"нет данных"))</f>
        <v>ультра-НЧ</v>
      </c>
      <c r="L224" s="12" t="n">
        <f aca="false">IF(AND(ISNUMBER(G224),G224&gt;0,ISNUMBER(I224)),I224/G224,"")</f>
        <v>0</v>
      </c>
      <c r="M224" s="10" t="s">
        <v>94</v>
      </c>
      <c r="N224" s="10" t="s">
        <v>380</v>
      </c>
      <c r="O224" s="10"/>
    </row>
    <row r="225" customFormat="false" ht="15" hidden="false" customHeight="false" outlineLevel="0" collapsed="false">
      <c r="A225" s="10" t="n">
        <v>224</v>
      </c>
      <c r="B225" s="10" t="s">
        <v>383</v>
      </c>
      <c r="C225" s="10" t="s">
        <v>381</v>
      </c>
      <c r="D225" s="10" t="s">
        <v>382</v>
      </c>
      <c r="E225" s="10" t="s">
        <v>92</v>
      </c>
      <c r="F225" s="10" t="s">
        <v>93</v>
      </c>
      <c r="G225" s="11" t="n">
        <v>49</v>
      </c>
      <c r="H225" s="11" t="n">
        <v>40</v>
      </c>
      <c r="I225" s="11" t="n">
        <v>0</v>
      </c>
      <c r="J225" s="11" t="n">
        <v>0</v>
      </c>
      <c r="K225" s="10" t="str">
        <f aca="false">IF(ISNUMBER(J225),IF(J225&lt;10,"ультра-НЧ",IF(J225&lt;100,"НЧ",IF(J225&lt;=1000,"СЧ","ВЧ"))),IF(ISNUMBER(I225),IF(I225&lt;10,"ультра-НЧ",IF(I225&lt;100,"НЧ",IF(I225&lt;=1000,"СЧ","ВЧ"))),"нет данных"))</f>
        <v>ультра-НЧ</v>
      </c>
      <c r="L225" s="12" t="n">
        <f aca="false">IF(AND(ISNUMBER(G225),G225&gt;0,ISNUMBER(I225)),I225/G225,"")</f>
        <v>0</v>
      </c>
      <c r="M225" s="10" t="s">
        <v>94</v>
      </c>
      <c r="N225" s="10" t="s">
        <v>383</v>
      </c>
      <c r="O225" s="10"/>
    </row>
    <row r="226" customFormat="false" ht="15" hidden="false" customHeight="false" outlineLevel="0" collapsed="false">
      <c r="A226" s="10" t="n">
        <v>225</v>
      </c>
      <c r="B226" s="10" t="s">
        <v>384</v>
      </c>
      <c r="C226" s="10" t="s">
        <v>381</v>
      </c>
      <c r="D226" s="10" t="s">
        <v>382</v>
      </c>
      <c r="E226" s="10" t="s">
        <v>92</v>
      </c>
      <c r="F226" s="10" t="s">
        <v>93</v>
      </c>
      <c r="G226" s="11" t="n">
        <v>685</v>
      </c>
      <c r="H226" s="11" t="n">
        <v>113</v>
      </c>
      <c r="I226" s="11" t="n">
        <v>9</v>
      </c>
      <c r="J226" s="11" t="n">
        <v>0</v>
      </c>
      <c r="K226" s="10" t="str">
        <f aca="false">IF(ISNUMBER(J226),IF(J226&lt;10,"ультра-НЧ",IF(J226&lt;100,"НЧ",IF(J226&lt;=1000,"СЧ","ВЧ"))),IF(ISNUMBER(I226),IF(I226&lt;10,"ультра-НЧ",IF(I226&lt;100,"НЧ",IF(I226&lt;=1000,"СЧ","ВЧ"))),"нет данных"))</f>
        <v>ультра-НЧ</v>
      </c>
      <c r="L226" s="12" t="n">
        <f aca="false">IF(AND(ISNUMBER(G226),G226&gt;0,ISNUMBER(I226)),I226/G226,"")</f>
        <v>0.0131386861313869</v>
      </c>
      <c r="M226" s="10" t="s">
        <v>112</v>
      </c>
      <c r="N226" s="10" t="s">
        <v>384</v>
      </c>
      <c r="O226" s="10"/>
    </row>
    <row r="227" customFormat="false" ht="15" hidden="false" customHeight="false" outlineLevel="0" collapsed="false">
      <c r="A227" s="10" t="n">
        <v>226</v>
      </c>
      <c r="B227" s="10" t="s">
        <v>385</v>
      </c>
      <c r="C227" s="10" t="s">
        <v>381</v>
      </c>
      <c r="D227" s="10" t="s">
        <v>382</v>
      </c>
      <c r="E227" s="10" t="s">
        <v>92</v>
      </c>
      <c r="F227" s="10" t="s">
        <v>93</v>
      </c>
      <c r="G227" s="11" t="n">
        <v>1</v>
      </c>
      <c r="H227" s="11" t="n">
        <v>0</v>
      </c>
      <c r="I227" s="11" t="n">
        <v>1</v>
      </c>
      <c r="J227" s="11" t="n">
        <v>0</v>
      </c>
      <c r="K227" s="10" t="str">
        <f aca="false">IF(ISNUMBER(J227),IF(J227&lt;10,"ультра-НЧ",IF(J227&lt;100,"НЧ",IF(J227&lt;=1000,"СЧ","ВЧ"))),IF(ISNUMBER(I227),IF(I227&lt;10,"ультра-НЧ",IF(I227&lt;100,"НЧ",IF(I227&lt;=1000,"СЧ","ВЧ"))),"нет данных"))</f>
        <v>ультра-НЧ</v>
      </c>
      <c r="L227" s="12" t="n">
        <f aca="false">IF(AND(ISNUMBER(G227),G227&gt;0,ISNUMBER(I227)),I227/G227,"")</f>
        <v>1</v>
      </c>
      <c r="M227" s="10" t="s">
        <v>94</v>
      </c>
      <c r="N227" s="10" t="s">
        <v>385</v>
      </c>
      <c r="O227" s="10"/>
    </row>
    <row r="228" customFormat="false" ht="15" hidden="false" customHeight="false" outlineLevel="0" collapsed="false">
      <c r="A228" s="10" t="n">
        <v>227</v>
      </c>
      <c r="B228" s="10" t="s">
        <v>386</v>
      </c>
      <c r="C228" s="10" t="s">
        <v>381</v>
      </c>
      <c r="D228" s="10" t="s">
        <v>382</v>
      </c>
      <c r="E228" s="10" t="s">
        <v>92</v>
      </c>
      <c r="F228" s="10" t="s">
        <v>93</v>
      </c>
      <c r="G228" s="11" t="n">
        <v>1</v>
      </c>
      <c r="H228" s="11" t="n">
        <v>0</v>
      </c>
      <c r="I228" s="11" t="n">
        <v>0</v>
      </c>
      <c r="J228" s="11" t="n">
        <v>0</v>
      </c>
      <c r="K228" s="10" t="str">
        <f aca="false">IF(ISNUMBER(J228),IF(J228&lt;10,"ультра-НЧ",IF(J228&lt;100,"НЧ",IF(J228&lt;=1000,"СЧ","ВЧ"))),IF(ISNUMBER(I228),IF(I228&lt;10,"ультра-НЧ",IF(I228&lt;100,"НЧ",IF(I228&lt;=1000,"СЧ","ВЧ"))),"нет данных"))</f>
        <v>ультра-НЧ</v>
      </c>
      <c r="L228" s="12" t="n">
        <f aca="false">IF(AND(ISNUMBER(G228),G228&gt;0,ISNUMBER(I228)),I228/G228,"")</f>
        <v>0</v>
      </c>
      <c r="M228" s="10" t="s">
        <v>94</v>
      </c>
      <c r="N228" s="10" t="s">
        <v>387</v>
      </c>
      <c r="O228" s="10" t="s">
        <v>388</v>
      </c>
    </row>
    <row r="229" customFormat="false" ht="15" hidden="false" customHeight="false" outlineLevel="0" collapsed="false">
      <c r="A229" s="10" t="n">
        <v>228</v>
      </c>
      <c r="B229" s="10" t="s">
        <v>389</v>
      </c>
      <c r="C229" s="10" t="s">
        <v>381</v>
      </c>
      <c r="D229" s="10" t="s">
        <v>382</v>
      </c>
      <c r="E229" s="10" t="s">
        <v>92</v>
      </c>
      <c r="F229" s="10" t="s">
        <v>93</v>
      </c>
      <c r="G229" s="11" t="n">
        <v>115</v>
      </c>
      <c r="H229" s="11" t="n">
        <v>3</v>
      </c>
      <c r="I229" s="11" t="n">
        <v>1</v>
      </c>
      <c r="J229" s="11" t="n">
        <v>0</v>
      </c>
      <c r="K229" s="10" t="str">
        <f aca="false">IF(ISNUMBER(J229),IF(J229&lt;10,"ультра-НЧ",IF(J229&lt;100,"НЧ",IF(J229&lt;=1000,"СЧ","ВЧ"))),IF(ISNUMBER(I229),IF(I229&lt;10,"ультра-НЧ",IF(I229&lt;100,"НЧ",IF(I229&lt;=1000,"СЧ","ВЧ"))),"нет данных"))</f>
        <v>ультра-НЧ</v>
      </c>
      <c r="L229" s="12" t="n">
        <f aca="false">IF(AND(ISNUMBER(G229),G229&gt;0,ISNUMBER(I229)),I229/G229,"")</f>
        <v>0.00869565217391304</v>
      </c>
      <c r="M229" s="10" t="s">
        <v>94</v>
      </c>
      <c r="N229" s="10" t="s">
        <v>389</v>
      </c>
      <c r="O229" s="10"/>
    </row>
    <row r="230" customFormat="false" ht="15" hidden="false" customHeight="false" outlineLevel="0" collapsed="false">
      <c r="A230" s="10" t="n">
        <v>229</v>
      </c>
      <c r="B230" s="10" t="s">
        <v>390</v>
      </c>
      <c r="C230" s="10" t="s">
        <v>381</v>
      </c>
      <c r="D230" s="10" t="s">
        <v>382</v>
      </c>
      <c r="E230" s="10" t="s">
        <v>92</v>
      </c>
      <c r="F230" s="10" t="s">
        <v>93</v>
      </c>
      <c r="G230" s="11"/>
      <c r="H230" s="11"/>
      <c r="I230" s="11"/>
      <c r="J230" s="11"/>
      <c r="K230" s="10" t="str">
        <f aca="false">IF(ISNUMBER(J230),IF(J230&lt;10,"ультра-НЧ",IF(J230&lt;100,"НЧ",IF(J230&lt;=1000,"СЧ","ВЧ"))),IF(ISNUMBER(I230),IF(I230&lt;10,"ультра-НЧ",IF(I230&lt;100,"НЧ",IF(I230&lt;=1000,"СЧ","ВЧ"))),"нет данных"))</f>
        <v>нет данных</v>
      </c>
      <c r="L230" s="12" t="str">
        <f aca="false">IF(AND(ISNUMBER(G230),G230&gt;0,ISNUMBER(I230)),I230/G230,"")</f>
        <v/>
      </c>
      <c r="M230" s="10" t="s">
        <v>391</v>
      </c>
      <c r="N230" s="10" t="s">
        <v>390</v>
      </c>
      <c r="O230" s="10"/>
    </row>
    <row r="231" customFormat="false" ht="15" hidden="false" customHeight="false" outlineLevel="0" collapsed="false">
      <c r="A231" s="10" t="n">
        <v>230</v>
      </c>
      <c r="B231" s="10" t="s">
        <v>392</v>
      </c>
      <c r="C231" s="10" t="s">
        <v>381</v>
      </c>
      <c r="D231" s="10" t="s">
        <v>382</v>
      </c>
      <c r="E231" s="10" t="s">
        <v>92</v>
      </c>
      <c r="F231" s="10" t="s">
        <v>93</v>
      </c>
      <c r="G231" s="11"/>
      <c r="H231" s="11" t="n">
        <v>0</v>
      </c>
      <c r="I231" s="11" t="n">
        <v>0</v>
      </c>
      <c r="J231" s="11" t="n">
        <v>0</v>
      </c>
      <c r="K231" s="10" t="str">
        <f aca="false">IF(ISNUMBER(J231),IF(J231&lt;10,"ультра-НЧ",IF(J231&lt;100,"НЧ",IF(J231&lt;=1000,"СЧ","ВЧ"))),IF(ISNUMBER(I231),IF(I231&lt;10,"ультра-НЧ",IF(I231&lt;100,"НЧ",IF(I231&lt;=1000,"СЧ","ВЧ"))),"нет данных"))</f>
        <v>ультра-НЧ</v>
      </c>
      <c r="L231" s="12" t="str">
        <f aca="false">IF(AND(ISNUMBER(G231),G231&gt;0,ISNUMBER(I231)),I231/G231,"")</f>
        <v/>
      </c>
      <c r="M231" s="10" t="s">
        <v>94</v>
      </c>
      <c r="N231" s="10" t="s">
        <v>392</v>
      </c>
      <c r="O231" s="10"/>
    </row>
    <row r="232" customFormat="false" ht="15" hidden="false" customHeight="false" outlineLevel="0" collapsed="false">
      <c r="A232" s="10" t="n">
        <v>231</v>
      </c>
      <c r="B232" s="10" t="s">
        <v>393</v>
      </c>
      <c r="C232" s="10" t="s">
        <v>381</v>
      </c>
      <c r="D232" s="10" t="s">
        <v>382</v>
      </c>
      <c r="E232" s="10" t="s">
        <v>92</v>
      </c>
      <c r="F232" s="10" t="s">
        <v>93</v>
      </c>
      <c r="G232" s="11"/>
      <c r="H232" s="11" t="n">
        <v>0</v>
      </c>
      <c r="I232" s="11" t="n">
        <v>0</v>
      </c>
      <c r="J232" s="11" t="n">
        <v>0</v>
      </c>
      <c r="K232" s="10" t="str">
        <f aca="false">IF(ISNUMBER(J232),IF(J232&lt;10,"ультра-НЧ",IF(J232&lt;100,"НЧ",IF(J232&lt;=1000,"СЧ","ВЧ"))),IF(ISNUMBER(I232),IF(I232&lt;10,"ультра-НЧ",IF(I232&lt;100,"НЧ",IF(I232&lt;=1000,"СЧ","ВЧ"))),"нет данных"))</f>
        <v>ультра-НЧ</v>
      </c>
      <c r="L232" s="12" t="str">
        <f aca="false">IF(AND(ISNUMBER(G232),G232&gt;0,ISNUMBER(I232)),I232/G232,"")</f>
        <v/>
      </c>
      <c r="M232" s="10" t="s">
        <v>94</v>
      </c>
      <c r="N232" s="10" t="s">
        <v>394</v>
      </c>
      <c r="O232" s="10"/>
    </row>
    <row r="233" customFormat="false" ht="15" hidden="false" customHeight="false" outlineLevel="0" collapsed="false">
      <c r="A233" s="10" t="n">
        <v>232</v>
      </c>
      <c r="B233" s="10" t="s">
        <v>395</v>
      </c>
      <c r="C233" s="10" t="s">
        <v>381</v>
      </c>
      <c r="D233" s="10" t="s">
        <v>382</v>
      </c>
      <c r="E233" s="10" t="s">
        <v>92</v>
      </c>
      <c r="F233" s="10" t="s">
        <v>93</v>
      </c>
      <c r="G233" s="11"/>
      <c r="H233" s="11" t="n">
        <v>0</v>
      </c>
      <c r="I233" s="11" t="n">
        <v>0</v>
      </c>
      <c r="J233" s="11" t="n">
        <v>0</v>
      </c>
      <c r="K233" s="10" t="str">
        <f aca="false">IF(ISNUMBER(J233),IF(J233&lt;10,"ультра-НЧ",IF(J233&lt;100,"НЧ",IF(J233&lt;=1000,"СЧ","ВЧ"))),IF(ISNUMBER(I233),IF(I233&lt;10,"ультра-НЧ",IF(I233&lt;100,"НЧ",IF(I233&lt;=1000,"СЧ","ВЧ"))),"нет данных"))</f>
        <v>ультра-НЧ</v>
      </c>
      <c r="L233" s="12" t="str">
        <f aca="false">IF(AND(ISNUMBER(G233),G233&gt;0,ISNUMBER(I233)),I233/G233,"")</f>
        <v/>
      </c>
      <c r="M233" s="10" t="s">
        <v>94</v>
      </c>
      <c r="N233" s="10" t="s">
        <v>395</v>
      </c>
      <c r="O233" s="10"/>
    </row>
    <row r="234" customFormat="false" ht="15" hidden="false" customHeight="false" outlineLevel="0" collapsed="false">
      <c r="A234" s="10" t="n">
        <v>233</v>
      </c>
      <c r="B234" s="10" t="s">
        <v>396</v>
      </c>
      <c r="C234" s="10" t="s">
        <v>381</v>
      </c>
      <c r="D234" s="10" t="s">
        <v>382</v>
      </c>
      <c r="E234" s="10" t="s">
        <v>92</v>
      </c>
      <c r="F234" s="10" t="s">
        <v>136</v>
      </c>
      <c r="G234" s="11" t="n">
        <v>36</v>
      </c>
      <c r="H234" s="11"/>
      <c r="I234" s="11"/>
      <c r="J234" s="11"/>
      <c r="K234" s="10" t="str">
        <f aca="false">IF(ISNUMBER(J234),IF(J234&lt;10,"ультра-НЧ",IF(J234&lt;100,"НЧ",IF(J234&lt;=1000,"СЧ","ВЧ"))),IF(ISNUMBER(I234),IF(I234&lt;10,"ультра-НЧ",IF(I234&lt;100,"НЧ",IF(I234&lt;=1000,"СЧ","ВЧ"))),"нет данных"))</f>
        <v>нет данных</v>
      </c>
      <c r="L234" s="12" t="str">
        <f aca="false">IF(AND(ISNUMBER(G234),G234&gt;0,ISNUMBER(I234)),I234/G234,"")</f>
        <v/>
      </c>
      <c r="M234" s="10" t="s">
        <v>94</v>
      </c>
      <c r="N234" s="10" t="s">
        <v>396</v>
      </c>
      <c r="O234" s="10"/>
    </row>
    <row r="235" customFormat="false" ht="15" hidden="false" customHeight="false" outlineLevel="0" collapsed="false">
      <c r="A235" s="10" t="n">
        <v>234</v>
      </c>
      <c r="B235" s="10" t="s">
        <v>397</v>
      </c>
      <c r="C235" s="10" t="s">
        <v>381</v>
      </c>
      <c r="D235" s="10" t="s">
        <v>382</v>
      </c>
      <c r="E235" s="10" t="s">
        <v>92</v>
      </c>
      <c r="F235" s="10" t="s">
        <v>136</v>
      </c>
      <c r="G235" s="11" t="n">
        <v>29</v>
      </c>
      <c r="H235" s="11"/>
      <c r="I235" s="11"/>
      <c r="J235" s="11"/>
      <c r="K235" s="10" t="str">
        <f aca="false">IF(ISNUMBER(J235),IF(J235&lt;10,"ультра-НЧ",IF(J235&lt;100,"НЧ",IF(J235&lt;=1000,"СЧ","ВЧ"))),IF(ISNUMBER(I235),IF(I235&lt;10,"ультра-НЧ",IF(I235&lt;100,"НЧ",IF(I235&lt;=1000,"СЧ","ВЧ"))),"нет данных"))</f>
        <v>нет данных</v>
      </c>
      <c r="L235" s="12" t="str">
        <f aca="false">IF(AND(ISNUMBER(G235),G235&gt;0,ISNUMBER(I235)),I235/G235,"")</f>
        <v/>
      </c>
      <c r="M235" s="10" t="s">
        <v>94</v>
      </c>
      <c r="N235" s="10" t="s">
        <v>397</v>
      </c>
      <c r="O235" s="10"/>
    </row>
    <row r="236" customFormat="false" ht="15" hidden="false" customHeight="false" outlineLevel="0" collapsed="false">
      <c r="A236" s="10" t="n">
        <v>235</v>
      </c>
      <c r="B236" s="10" t="s">
        <v>398</v>
      </c>
      <c r="C236" s="10" t="s">
        <v>381</v>
      </c>
      <c r="D236" s="10" t="s">
        <v>382</v>
      </c>
      <c r="E236" s="10" t="s">
        <v>92</v>
      </c>
      <c r="F236" s="10" t="s">
        <v>136</v>
      </c>
      <c r="G236" s="11" t="n">
        <v>28</v>
      </c>
      <c r="H236" s="11"/>
      <c r="I236" s="11"/>
      <c r="J236" s="11"/>
      <c r="K236" s="10" t="str">
        <f aca="false">IF(ISNUMBER(J236),IF(J236&lt;10,"ультра-НЧ",IF(J236&lt;100,"НЧ",IF(J236&lt;=1000,"СЧ","ВЧ"))),IF(ISNUMBER(I236),IF(I236&lt;10,"ультра-НЧ",IF(I236&lt;100,"НЧ",IF(I236&lt;=1000,"СЧ","ВЧ"))),"нет данных"))</f>
        <v>нет данных</v>
      </c>
      <c r="L236" s="12" t="str">
        <f aca="false">IF(AND(ISNUMBER(G236),G236&gt;0,ISNUMBER(I236)),I236/G236,"")</f>
        <v/>
      </c>
      <c r="M236" s="10" t="s">
        <v>94</v>
      </c>
      <c r="N236" s="10" t="s">
        <v>398</v>
      </c>
      <c r="O236" s="10"/>
    </row>
    <row r="237" customFormat="false" ht="15" hidden="false" customHeight="false" outlineLevel="0" collapsed="false">
      <c r="A237" s="10" t="n">
        <v>236</v>
      </c>
      <c r="B237" s="10" t="s">
        <v>399</v>
      </c>
      <c r="C237" s="10" t="s">
        <v>381</v>
      </c>
      <c r="D237" s="10" t="s">
        <v>382</v>
      </c>
      <c r="E237" s="10" t="s">
        <v>92</v>
      </c>
      <c r="F237" s="10" t="s">
        <v>136</v>
      </c>
      <c r="G237" s="11" t="n">
        <v>20</v>
      </c>
      <c r="H237" s="11"/>
      <c r="I237" s="11"/>
      <c r="J237" s="11"/>
      <c r="K237" s="10" t="str">
        <f aca="false">IF(ISNUMBER(J237),IF(J237&lt;10,"ультра-НЧ",IF(J237&lt;100,"НЧ",IF(J237&lt;=1000,"СЧ","ВЧ"))),IF(ISNUMBER(I237),IF(I237&lt;10,"ультра-НЧ",IF(I237&lt;100,"НЧ",IF(I237&lt;=1000,"СЧ","ВЧ"))),"нет данных"))</f>
        <v>нет данных</v>
      </c>
      <c r="L237" s="12" t="str">
        <f aca="false">IF(AND(ISNUMBER(G237),G237&gt;0,ISNUMBER(I237)),I237/G237,"")</f>
        <v/>
      </c>
      <c r="M237" s="10" t="s">
        <v>94</v>
      </c>
      <c r="N237" s="10" t="s">
        <v>399</v>
      </c>
      <c r="O237" s="10"/>
    </row>
    <row r="238" customFormat="false" ht="15" hidden="false" customHeight="false" outlineLevel="0" collapsed="false">
      <c r="A238" s="10" t="n">
        <v>237</v>
      </c>
      <c r="B238" s="10" t="s">
        <v>400</v>
      </c>
      <c r="C238" s="10" t="s">
        <v>381</v>
      </c>
      <c r="D238" s="10" t="s">
        <v>382</v>
      </c>
      <c r="E238" s="10" t="s">
        <v>92</v>
      </c>
      <c r="F238" s="10" t="s">
        <v>136</v>
      </c>
      <c r="G238" s="11" t="n">
        <v>251</v>
      </c>
      <c r="H238" s="11"/>
      <c r="I238" s="11" t="n">
        <v>8</v>
      </c>
      <c r="J238" s="11"/>
      <c r="K238" s="10" t="str">
        <f aca="false">IF(ISNUMBER(J238),IF(J238&lt;10,"ультра-НЧ",IF(J238&lt;100,"НЧ",IF(J238&lt;=1000,"СЧ","ВЧ"))),IF(ISNUMBER(I238),IF(I238&lt;10,"ультра-НЧ",IF(I238&lt;100,"НЧ",IF(I238&lt;=1000,"СЧ","ВЧ"))),"нет данных"))</f>
        <v>ультра-НЧ</v>
      </c>
      <c r="L238" s="12" t="n">
        <f aca="false">IF(AND(ISNUMBER(G238),G238&gt;0,ISNUMBER(I238)),I238/G238,"")</f>
        <v>0.0318725099601594</v>
      </c>
      <c r="M238" s="10" t="s">
        <v>112</v>
      </c>
      <c r="N238" s="10" t="s">
        <v>401</v>
      </c>
      <c r="O238" s="10"/>
    </row>
    <row r="239" customFormat="false" ht="15" hidden="false" customHeight="false" outlineLevel="0" collapsed="false">
      <c r="A239" s="10" t="n">
        <v>238</v>
      </c>
      <c r="B239" s="10" t="s">
        <v>402</v>
      </c>
      <c r="C239" s="10" t="s">
        <v>381</v>
      </c>
      <c r="D239" s="10" t="s">
        <v>382</v>
      </c>
      <c r="E239" s="10" t="s">
        <v>92</v>
      </c>
      <c r="F239" s="10" t="s">
        <v>136</v>
      </c>
      <c r="G239" s="11" t="n">
        <v>136</v>
      </c>
      <c r="H239" s="11"/>
      <c r="I239" s="11" t="n">
        <v>8</v>
      </c>
      <c r="J239" s="11"/>
      <c r="K239" s="10" t="str">
        <f aca="false">IF(ISNUMBER(J239),IF(J239&lt;10,"ультра-НЧ",IF(J239&lt;100,"НЧ",IF(J239&lt;=1000,"СЧ","ВЧ"))),IF(ISNUMBER(I239),IF(I239&lt;10,"ультра-НЧ",IF(I239&lt;100,"НЧ",IF(I239&lt;=1000,"СЧ","ВЧ"))),"нет данных"))</f>
        <v>ультра-НЧ</v>
      </c>
      <c r="L239" s="12" t="n">
        <f aca="false">IF(AND(ISNUMBER(G239),G239&gt;0,ISNUMBER(I239)),I239/G239,"")</f>
        <v>0.0588235294117647</v>
      </c>
      <c r="M239" s="10" t="s">
        <v>112</v>
      </c>
      <c r="N239" s="10" t="s">
        <v>402</v>
      </c>
      <c r="O239" s="10"/>
    </row>
    <row r="240" customFormat="false" ht="15" hidden="false" customHeight="false" outlineLevel="0" collapsed="false">
      <c r="A240" s="10" t="n">
        <v>239</v>
      </c>
      <c r="B240" s="10" t="s">
        <v>403</v>
      </c>
      <c r="C240" s="10" t="s">
        <v>381</v>
      </c>
      <c r="D240" s="10" t="s">
        <v>382</v>
      </c>
      <c r="E240" s="10" t="s">
        <v>92</v>
      </c>
      <c r="F240" s="10" t="s">
        <v>136</v>
      </c>
      <c r="G240" s="11" t="n">
        <v>35</v>
      </c>
      <c r="H240" s="11"/>
      <c r="I240" s="11" t="n">
        <v>1</v>
      </c>
      <c r="J240" s="11"/>
      <c r="K240" s="10" t="str">
        <f aca="false">IF(ISNUMBER(J240),IF(J240&lt;10,"ультра-НЧ",IF(J240&lt;100,"НЧ",IF(J240&lt;=1000,"СЧ","ВЧ"))),IF(ISNUMBER(I240),IF(I240&lt;10,"ультра-НЧ",IF(I240&lt;100,"НЧ",IF(I240&lt;=1000,"СЧ","ВЧ"))),"нет данных"))</f>
        <v>ультра-НЧ</v>
      </c>
      <c r="L240" s="12" t="n">
        <f aca="false">IF(AND(ISNUMBER(G240),G240&gt;0,ISNUMBER(I240)),I240/G240,"")</f>
        <v>0.0285714285714286</v>
      </c>
      <c r="M240" s="10" t="s">
        <v>94</v>
      </c>
      <c r="N240" s="10" t="s">
        <v>403</v>
      </c>
      <c r="O240" s="10"/>
    </row>
    <row r="241" customFormat="false" ht="15" hidden="false" customHeight="false" outlineLevel="0" collapsed="false">
      <c r="A241" s="10" t="n">
        <v>240</v>
      </c>
      <c r="B241" s="10" t="s">
        <v>404</v>
      </c>
      <c r="C241" s="10" t="s">
        <v>381</v>
      </c>
      <c r="D241" s="10" t="s">
        <v>382</v>
      </c>
      <c r="E241" s="10" t="s">
        <v>92</v>
      </c>
      <c r="F241" s="10" t="s">
        <v>136</v>
      </c>
      <c r="G241" s="11" t="n">
        <v>24</v>
      </c>
      <c r="H241" s="11"/>
      <c r="I241" s="11" t="n">
        <v>1</v>
      </c>
      <c r="J241" s="11"/>
      <c r="K241" s="10" t="str">
        <f aca="false">IF(ISNUMBER(J241),IF(J241&lt;10,"ультра-НЧ",IF(J241&lt;100,"НЧ",IF(J241&lt;=1000,"СЧ","ВЧ"))),IF(ISNUMBER(I241),IF(I241&lt;10,"ультра-НЧ",IF(I241&lt;100,"НЧ",IF(I241&lt;=1000,"СЧ","ВЧ"))),"нет данных"))</f>
        <v>ультра-НЧ</v>
      </c>
      <c r="L241" s="12" t="n">
        <f aca="false">IF(AND(ISNUMBER(G241),G241&gt;0,ISNUMBER(I241)),I241/G241,"")</f>
        <v>0.0416666666666667</v>
      </c>
      <c r="M241" s="10" t="s">
        <v>94</v>
      </c>
      <c r="N241" s="10" t="s">
        <v>404</v>
      </c>
      <c r="O241" s="10"/>
    </row>
    <row r="242" customFormat="false" ht="15" hidden="false" customHeight="false" outlineLevel="0" collapsed="false">
      <c r="A242" s="10" t="n">
        <v>241</v>
      </c>
      <c r="B242" s="10" t="s">
        <v>405</v>
      </c>
      <c r="C242" s="10" t="s">
        <v>406</v>
      </c>
      <c r="D242" s="10" t="s">
        <v>382</v>
      </c>
      <c r="E242" s="10" t="s">
        <v>92</v>
      </c>
      <c r="F242" s="10" t="s">
        <v>93</v>
      </c>
      <c r="G242" s="11" t="n">
        <v>9</v>
      </c>
      <c r="H242" s="11" t="n">
        <v>4</v>
      </c>
      <c r="I242" s="11" t="n">
        <v>0</v>
      </c>
      <c r="J242" s="11" t="n">
        <v>0</v>
      </c>
      <c r="K242" s="10" t="str">
        <f aca="false">IF(ISNUMBER(J242),IF(J242&lt;10,"ультра-НЧ",IF(J242&lt;100,"НЧ",IF(J242&lt;=1000,"СЧ","ВЧ"))),IF(ISNUMBER(I242),IF(I242&lt;10,"ультра-НЧ",IF(I242&lt;100,"НЧ",IF(I242&lt;=1000,"СЧ","ВЧ"))),"нет данных"))</f>
        <v>ультра-НЧ</v>
      </c>
      <c r="L242" s="12" t="n">
        <f aca="false">IF(AND(ISNUMBER(G242),G242&gt;0,ISNUMBER(I242)),I242/G242,"")</f>
        <v>0</v>
      </c>
      <c r="M242" s="10" t="s">
        <v>94</v>
      </c>
      <c r="N242" s="10" t="s">
        <v>407</v>
      </c>
      <c r="O242" s="10"/>
    </row>
    <row r="243" customFormat="false" ht="15" hidden="false" customHeight="false" outlineLevel="0" collapsed="false">
      <c r="A243" s="10" t="n">
        <v>242</v>
      </c>
      <c r="B243" s="10" t="s">
        <v>408</v>
      </c>
      <c r="C243" s="10" t="s">
        <v>406</v>
      </c>
      <c r="D243" s="10" t="s">
        <v>382</v>
      </c>
      <c r="E243" s="10" t="s">
        <v>92</v>
      </c>
      <c r="F243" s="10" t="s">
        <v>93</v>
      </c>
      <c r="G243" s="11" t="n">
        <v>7</v>
      </c>
      <c r="H243" s="11" t="n">
        <v>0</v>
      </c>
      <c r="I243" s="11" t="n">
        <v>0</v>
      </c>
      <c r="J243" s="11" t="n">
        <v>0</v>
      </c>
      <c r="K243" s="10" t="str">
        <f aca="false">IF(ISNUMBER(J243),IF(J243&lt;10,"ультра-НЧ",IF(J243&lt;100,"НЧ",IF(J243&lt;=1000,"СЧ","ВЧ"))),IF(ISNUMBER(I243),IF(I243&lt;10,"ультра-НЧ",IF(I243&lt;100,"НЧ",IF(I243&lt;=1000,"СЧ","ВЧ"))),"нет данных"))</f>
        <v>ультра-НЧ</v>
      </c>
      <c r="L243" s="12" t="n">
        <f aca="false">IF(AND(ISNUMBER(G243),G243&gt;0,ISNUMBER(I243)),I243/G243,"")</f>
        <v>0</v>
      </c>
      <c r="M243" s="10" t="s">
        <v>94</v>
      </c>
      <c r="N243" s="10" t="s">
        <v>409</v>
      </c>
      <c r="O243" s="10"/>
    </row>
    <row r="244" customFormat="false" ht="15" hidden="false" customHeight="false" outlineLevel="0" collapsed="false">
      <c r="A244" s="10" t="n">
        <v>243</v>
      </c>
      <c r="B244" s="10" t="s">
        <v>410</v>
      </c>
      <c r="C244" s="10" t="s">
        <v>406</v>
      </c>
      <c r="D244" s="10" t="s">
        <v>382</v>
      </c>
      <c r="E244" s="10" t="s">
        <v>92</v>
      </c>
      <c r="F244" s="10" t="s">
        <v>93</v>
      </c>
      <c r="G244" s="11" t="n">
        <v>7</v>
      </c>
      <c r="H244" s="11" t="n">
        <v>0</v>
      </c>
      <c r="I244" s="11" t="n">
        <v>0</v>
      </c>
      <c r="J244" s="11" t="n">
        <v>0</v>
      </c>
      <c r="K244" s="10" t="str">
        <f aca="false">IF(ISNUMBER(J244),IF(J244&lt;10,"ультра-НЧ",IF(J244&lt;100,"НЧ",IF(J244&lt;=1000,"СЧ","ВЧ"))),IF(ISNUMBER(I244),IF(I244&lt;10,"ультра-НЧ",IF(I244&lt;100,"НЧ",IF(I244&lt;=1000,"СЧ","ВЧ"))),"нет данных"))</f>
        <v>ультра-НЧ</v>
      </c>
      <c r="L244" s="12" t="n">
        <f aca="false">IF(AND(ISNUMBER(G244),G244&gt;0,ISNUMBER(I244)),I244/G244,"")</f>
        <v>0</v>
      </c>
      <c r="M244" s="10" t="s">
        <v>94</v>
      </c>
      <c r="N244" s="10" t="s">
        <v>411</v>
      </c>
      <c r="O244" s="10"/>
    </row>
    <row r="245" customFormat="false" ht="15" hidden="false" customHeight="false" outlineLevel="0" collapsed="false">
      <c r="A245" s="10" t="n">
        <v>244</v>
      </c>
      <c r="B245" s="10" t="s">
        <v>412</v>
      </c>
      <c r="C245" s="10" t="s">
        <v>406</v>
      </c>
      <c r="D245" s="10" t="s">
        <v>382</v>
      </c>
      <c r="E245" s="10" t="s">
        <v>92</v>
      </c>
      <c r="F245" s="10" t="s">
        <v>93</v>
      </c>
      <c r="G245" s="11" t="n">
        <v>3</v>
      </c>
      <c r="H245" s="11" t="n">
        <v>3</v>
      </c>
      <c r="I245" s="11" t="n">
        <v>0</v>
      </c>
      <c r="J245" s="11" t="n">
        <v>0</v>
      </c>
      <c r="K245" s="10" t="str">
        <f aca="false">IF(ISNUMBER(J245),IF(J245&lt;10,"ультра-НЧ",IF(J245&lt;100,"НЧ",IF(J245&lt;=1000,"СЧ","ВЧ"))),IF(ISNUMBER(I245),IF(I245&lt;10,"ультра-НЧ",IF(I245&lt;100,"НЧ",IF(I245&lt;=1000,"СЧ","ВЧ"))),"нет данных"))</f>
        <v>ультра-НЧ</v>
      </c>
      <c r="L245" s="12" t="n">
        <f aca="false">IF(AND(ISNUMBER(G245),G245&gt;0,ISNUMBER(I245)),I245/G245,"")</f>
        <v>0</v>
      </c>
      <c r="M245" s="10" t="s">
        <v>94</v>
      </c>
      <c r="N245" s="10" t="s">
        <v>413</v>
      </c>
      <c r="O245" s="10"/>
    </row>
    <row r="246" customFormat="false" ht="15" hidden="false" customHeight="false" outlineLevel="0" collapsed="false">
      <c r="A246" s="10" t="n">
        <v>245</v>
      </c>
      <c r="B246" s="10" t="s">
        <v>414</v>
      </c>
      <c r="C246" s="10" t="s">
        <v>406</v>
      </c>
      <c r="D246" s="10" t="s">
        <v>382</v>
      </c>
      <c r="E246" s="10" t="s">
        <v>92</v>
      </c>
      <c r="F246" s="10" t="s">
        <v>93</v>
      </c>
      <c r="G246" s="11" t="n">
        <v>3</v>
      </c>
      <c r="H246" s="11" t="n">
        <v>0</v>
      </c>
      <c r="I246" s="11" t="n">
        <v>0</v>
      </c>
      <c r="J246" s="11" t="n">
        <v>0</v>
      </c>
      <c r="K246" s="10" t="str">
        <f aca="false">IF(ISNUMBER(J246),IF(J246&lt;10,"ультра-НЧ",IF(J246&lt;100,"НЧ",IF(J246&lt;=1000,"СЧ","ВЧ"))),IF(ISNUMBER(I246),IF(I246&lt;10,"ультра-НЧ",IF(I246&lt;100,"НЧ",IF(I246&lt;=1000,"СЧ","ВЧ"))),"нет данных"))</f>
        <v>ультра-НЧ</v>
      </c>
      <c r="L246" s="12" t="n">
        <f aca="false">IF(AND(ISNUMBER(G246),G246&gt;0,ISNUMBER(I246)),I246/G246,"")</f>
        <v>0</v>
      </c>
      <c r="M246" s="10" t="s">
        <v>94</v>
      </c>
      <c r="N246" s="10" t="s">
        <v>415</v>
      </c>
      <c r="O246" s="10"/>
    </row>
    <row r="247" customFormat="false" ht="15" hidden="false" customHeight="false" outlineLevel="0" collapsed="false">
      <c r="A247" s="10" t="n">
        <v>246</v>
      </c>
      <c r="B247" s="10" t="s">
        <v>416</v>
      </c>
      <c r="C247" s="10" t="s">
        <v>406</v>
      </c>
      <c r="D247" s="10" t="s">
        <v>382</v>
      </c>
      <c r="E247" s="10" t="s">
        <v>92</v>
      </c>
      <c r="F247" s="10" t="s">
        <v>93</v>
      </c>
      <c r="G247" s="11" t="n">
        <v>8</v>
      </c>
      <c r="H247" s="11" t="n">
        <v>2</v>
      </c>
      <c r="I247" s="11" t="n">
        <v>2</v>
      </c>
      <c r="J247" s="11" t="n">
        <v>0</v>
      </c>
      <c r="K247" s="10" t="str">
        <f aca="false">IF(ISNUMBER(J247),IF(J247&lt;10,"ультра-НЧ",IF(J247&lt;100,"НЧ",IF(J247&lt;=1000,"СЧ","ВЧ"))),IF(ISNUMBER(I247),IF(I247&lt;10,"ультра-НЧ",IF(I247&lt;100,"НЧ",IF(I247&lt;=1000,"СЧ","ВЧ"))),"нет данных"))</f>
        <v>ультра-НЧ</v>
      </c>
      <c r="L247" s="12" t="n">
        <f aca="false">IF(AND(ISNUMBER(G247),G247&gt;0,ISNUMBER(I247)),I247/G247,"")</f>
        <v>0.25</v>
      </c>
      <c r="M247" s="10" t="s">
        <v>94</v>
      </c>
      <c r="N247" s="10" t="s">
        <v>417</v>
      </c>
      <c r="O247" s="10"/>
    </row>
    <row r="248" customFormat="false" ht="15" hidden="false" customHeight="false" outlineLevel="0" collapsed="false">
      <c r="A248" s="10" t="n">
        <v>247</v>
      </c>
      <c r="B248" s="10" t="s">
        <v>418</v>
      </c>
      <c r="C248" s="10" t="s">
        <v>406</v>
      </c>
      <c r="D248" s="10" t="s">
        <v>382</v>
      </c>
      <c r="E248" s="10" t="s">
        <v>92</v>
      </c>
      <c r="F248" s="10" t="s">
        <v>93</v>
      </c>
      <c r="G248" s="11" t="n">
        <v>89</v>
      </c>
      <c r="H248" s="11" t="n">
        <v>2</v>
      </c>
      <c r="I248" s="11" t="n">
        <v>2</v>
      </c>
      <c r="J248" s="11" t="n">
        <v>0</v>
      </c>
      <c r="K248" s="10" t="str">
        <f aca="false">IF(ISNUMBER(J248),IF(J248&lt;10,"ультра-НЧ",IF(J248&lt;100,"НЧ",IF(J248&lt;=1000,"СЧ","ВЧ"))),IF(ISNUMBER(I248),IF(I248&lt;10,"ультра-НЧ",IF(I248&lt;100,"НЧ",IF(I248&lt;=1000,"СЧ","ВЧ"))),"нет данных"))</f>
        <v>ультра-НЧ</v>
      </c>
      <c r="L248" s="12" t="n">
        <f aca="false">IF(AND(ISNUMBER(G248),G248&gt;0,ISNUMBER(I248)),I248/G248,"")</f>
        <v>0.0224719101123596</v>
      </c>
      <c r="M248" s="10" t="s">
        <v>94</v>
      </c>
      <c r="N248" s="10" t="s">
        <v>419</v>
      </c>
      <c r="O248" s="10"/>
    </row>
    <row r="249" customFormat="false" ht="15" hidden="false" customHeight="false" outlineLevel="0" collapsed="false">
      <c r="A249" s="10" t="n">
        <v>248</v>
      </c>
      <c r="B249" s="10" t="s">
        <v>420</v>
      </c>
      <c r="C249" s="10" t="s">
        <v>406</v>
      </c>
      <c r="D249" s="10" t="s">
        <v>382</v>
      </c>
      <c r="E249" s="10" t="s">
        <v>92</v>
      </c>
      <c r="F249" s="10" t="s">
        <v>93</v>
      </c>
      <c r="G249" s="11" t="n">
        <v>4</v>
      </c>
      <c r="H249" s="11" t="n">
        <v>0</v>
      </c>
      <c r="I249" s="11" t="n">
        <v>2</v>
      </c>
      <c r="J249" s="11" t="n">
        <v>0</v>
      </c>
      <c r="K249" s="10" t="str">
        <f aca="false">IF(ISNUMBER(J249),IF(J249&lt;10,"ультра-НЧ",IF(J249&lt;100,"НЧ",IF(J249&lt;=1000,"СЧ","ВЧ"))),IF(ISNUMBER(I249),IF(I249&lt;10,"ультра-НЧ",IF(I249&lt;100,"НЧ",IF(I249&lt;=1000,"СЧ","ВЧ"))),"нет данных"))</f>
        <v>ультра-НЧ</v>
      </c>
      <c r="L249" s="12" t="n">
        <f aca="false">IF(AND(ISNUMBER(G249),G249&gt;0,ISNUMBER(I249)),I249/G249,"")</f>
        <v>0.5</v>
      </c>
      <c r="M249" s="10" t="s">
        <v>94</v>
      </c>
      <c r="N249" s="10" t="s">
        <v>421</v>
      </c>
      <c r="O249" s="10"/>
    </row>
    <row r="250" customFormat="false" ht="15" hidden="false" customHeight="false" outlineLevel="0" collapsed="false">
      <c r="A250" s="10" t="n">
        <v>249</v>
      </c>
      <c r="B250" s="10" t="s">
        <v>422</v>
      </c>
      <c r="C250" s="10" t="s">
        <v>406</v>
      </c>
      <c r="D250" s="10" t="s">
        <v>382</v>
      </c>
      <c r="E250" s="10" t="s">
        <v>92</v>
      </c>
      <c r="F250" s="10" t="s">
        <v>93</v>
      </c>
      <c r="G250" s="11" t="n">
        <v>37</v>
      </c>
      <c r="H250" s="11" t="n">
        <v>0</v>
      </c>
      <c r="I250" s="11" t="n">
        <v>1</v>
      </c>
      <c r="J250" s="11" t="n">
        <v>0</v>
      </c>
      <c r="K250" s="10" t="str">
        <f aca="false">IF(ISNUMBER(J250),IF(J250&lt;10,"ультра-НЧ",IF(J250&lt;100,"НЧ",IF(J250&lt;=1000,"СЧ","ВЧ"))),IF(ISNUMBER(I250),IF(I250&lt;10,"ультра-НЧ",IF(I250&lt;100,"НЧ",IF(I250&lt;=1000,"СЧ","ВЧ"))),"нет данных"))</f>
        <v>ультра-НЧ</v>
      </c>
      <c r="L250" s="12" t="n">
        <f aca="false">IF(AND(ISNUMBER(G250),G250&gt;0,ISNUMBER(I250)),I250/G250,"")</f>
        <v>0.027027027027027</v>
      </c>
      <c r="M250" s="10" t="s">
        <v>94</v>
      </c>
      <c r="N250" s="10" t="s">
        <v>423</v>
      </c>
      <c r="O250" s="10"/>
    </row>
    <row r="251" customFormat="false" ht="15" hidden="false" customHeight="false" outlineLevel="0" collapsed="false">
      <c r="A251" s="10" t="n">
        <v>250</v>
      </c>
      <c r="B251" s="10" t="s">
        <v>424</v>
      </c>
      <c r="C251" s="10" t="s">
        <v>406</v>
      </c>
      <c r="D251" s="10" t="s">
        <v>382</v>
      </c>
      <c r="E251" s="10" t="s">
        <v>92</v>
      </c>
      <c r="F251" s="10" t="s">
        <v>93</v>
      </c>
      <c r="G251" s="11"/>
      <c r="H251" s="11" t="n">
        <v>0</v>
      </c>
      <c r="I251" s="11" t="n">
        <v>0</v>
      </c>
      <c r="J251" s="11" t="n">
        <v>0</v>
      </c>
      <c r="K251" s="10" t="str">
        <f aca="false">IF(ISNUMBER(J251),IF(J251&lt;10,"ультра-НЧ",IF(J251&lt;100,"НЧ",IF(J251&lt;=1000,"СЧ","ВЧ"))),IF(ISNUMBER(I251),IF(I251&lt;10,"ультра-НЧ",IF(I251&lt;100,"НЧ",IF(I251&lt;=1000,"СЧ","ВЧ"))),"нет данных"))</f>
        <v>ультра-НЧ</v>
      </c>
      <c r="L251" s="12" t="str">
        <f aca="false">IF(AND(ISNUMBER(G251),G251&gt;0,ISNUMBER(I251)),I251/G251,"")</f>
        <v/>
      </c>
      <c r="M251" s="10" t="s">
        <v>94</v>
      </c>
      <c r="N251" s="10" t="s">
        <v>425</v>
      </c>
      <c r="O251" s="10"/>
    </row>
    <row r="252" customFormat="false" ht="15" hidden="false" customHeight="false" outlineLevel="0" collapsed="false">
      <c r="A252" s="10" t="n">
        <v>251</v>
      </c>
      <c r="B252" s="10" t="s">
        <v>426</v>
      </c>
      <c r="C252" s="10" t="s">
        <v>406</v>
      </c>
      <c r="D252" s="10" t="s">
        <v>382</v>
      </c>
      <c r="E252" s="10" t="s">
        <v>92</v>
      </c>
      <c r="F252" s="10" t="s">
        <v>136</v>
      </c>
      <c r="G252" s="11" t="n">
        <v>33</v>
      </c>
      <c r="H252" s="11"/>
      <c r="I252" s="11"/>
      <c r="J252" s="11"/>
      <c r="K252" s="10" t="str">
        <f aca="false">IF(ISNUMBER(J252),IF(J252&lt;10,"ультра-НЧ",IF(J252&lt;100,"НЧ",IF(J252&lt;=1000,"СЧ","ВЧ"))),IF(ISNUMBER(I252),IF(I252&lt;10,"ультра-НЧ",IF(I252&lt;100,"НЧ",IF(I252&lt;=1000,"СЧ","ВЧ"))),"нет данных"))</f>
        <v>нет данных</v>
      </c>
      <c r="L252" s="12" t="str">
        <f aca="false">IF(AND(ISNUMBER(G252),G252&gt;0,ISNUMBER(I252)),I252/G252,"")</f>
        <v/>
      </c>
      <c r="M252" s="10" t="s">
        <v>94</v>
      </c>
      <c r="N252" s="10" t="s">
        <v>427</v>
      </c>
      <c r="O252" s="10"/>
    </row>
    <row r="253" customFormat="false" ht="15" hidden="false" customHeight="false" outlineLevel="0" collapsed="false">
      <c r="A253" s="10" t="n">
        <v>252</v>
      </c>
      <c r="B253" s="10" t="s">
        <v>428</v>
      </c>
      <c r="C253" s="10" t="s">
        <v>406</v>
      </c>
      <c r="D253" s="10" t="s">
        <v>382</v>
      </c>
      <c r="E253" s="10" t="s">
        <v>92</v>
      </c>
      <c r="F253" s="10" t="s">
        <v>136</v>
      </c>
      <c r="G253" s="11" t="n">
        <v>33</v>
      </c>
      <c r="H253" s="11"/>
      <c r="I253" s="11" t="n">
        <v>2</v>
      </c>
      <c r="J253" s="11"/>
      <c r="K253" s="10" t="str">
        <f aca="false">IF(ISNUMBER(J253),IF(J253&lt;10,"ультра-НЧ",IF(J253&lt;100,"НЧ",IF(J253&lt;=1000,"СЧ","ВЧ"))),IF(ISNUMBER(I253),IF(I253&lt;10,"ультра-НЧ",IF(I253&lt;100,"НЧ",IF(I253&lt;=1000,"СЧ","ВЧ"))),"нет данных"))</f>
        <v>ультра-НЧ</v>
      </c>
      <c r="L253" s="12" t="n">
        <f aca="false">IF(AND(ISNUMBER(G253),G253&gt;0,ISNUMBER(I253)),I253/G253,"")</f>
        <v>0.0606060606060606</v>
      </c>
      <c r="M253" s="10" t="s">
        <v>94</v>
      </c>
      <c r="N253" s="10" t="s">
        <v>429</v>
      </c>
      <c r="O253" s="10"/>
    </row>
    <row r="254" customFormat="false" ht="15" hidden="false" customHeight="false" outlineLevel="0" collapsed="false">
      <c r="A254" s="10" t="n">
        <v>253</v>
      </c>
      <c r="B254" s="10" t="s">
        <v>430</v>
      </c>
      <c r="C254" s="10" t="s">
        <v>431</v>
      </c>
      <c r="D254" s="10" t="s">
        <v>432</v>
      </c>
      <c r="E254" s="10" t="s">
        <v>92</v>
      </c>
      <c r="F254" s="10" t="s">
        <v>93</v>
      </c>
      <c r="G254" s="11" t="n">
        <v>14</v>
      </c>
      <c r="H254" s="11" t="n">
        <v>0</v>
      </c>
      <c r="I254" s="11" t="n">
        <v>0</v>
      </c>
      <c r="J254" s="11" t="n">
        <v>0</v>
      </c>
      <c r="K254" s="10" t="str">
        <f aca="false">IF(ISNUMBER(J254),IF(J254&lt;10,"ультра-НЧ",IF(J254&lt;100,"НЧ",IF(J254&lt;=1000,"СЧ","ВЧ"))),IF(ISNUMBER(I254),IF(I254&lt;10,"ультра-НЧ",IF(I254&lt;100,"НЧ",IF(I254&lt;=1000,"СЧ","ВЧ"))),"нет данных"))</f>
        <v>ультра-НЧ</v>
      </c>
      <c r="L254" s="12" t="n">
        <f aca="false">IF(AND(ISNUMBER(G254),G254&gt;0,ISNUMBER(I254)),I254/G254,"")</f>
        <v>0</v>
      </c>
      <c r="M254" s="10" t="s">
        <v>94</v>
      </c>
      <c r="N254" s="10" t="s">
        <v>430</v>
      </c>
      <c r="O254" s="10"/>
    </row>
    <row r="255" customFormat="false" ht="15" hidden="false" customHeight="false" outlineLevel="0" collapsed="false">
      <c r="A255" s="10" t="n">
        <v>254</v>
      </c>
      <c r="B255" s="10" t="s">
        <v>433</v>
      </c>
      <c r="C255" s="10" t="s">
        <v>431</v>
      </c>
      <c r="D255" s="10" t="s">
        <v>432</v>
      </c>
      <c r="E255" s="10" t="s">
        <v>92</v>
      </c>
      <c r="F255" s="10" t="s">
        <v>93</v>
      </c>
      <c r="G255" s="11" t="n">
        <v>5</v>
      </c>
      <c r="H255" s="11" t="n">
        <v>0</v>
      </c>
      <c r="I255" s="11" t="n">
        <v>0</v>
      </c>
      <c r="J255" s="11" t="n">
        <v>0</v>
      </c>
      <c r="K255" s="10" t="str">
        <f aca="false">IF(ISNUMBER(J255),IF(J255&lt;10,"ультра-НЧ",IF(J255&lt;100,"НЧ",IF(J255&lt;=1000,"СЧ","ВЧ"))),IF(ISNUMBER(I255),IF(I255&lt;10,"ультра-НЧ",IF(I255&lt;100,"НЧ",IF(I255&lt;=1000,"СЧ","ВЧ"))),"нет данных"))</f>
        <v>ультра-НЧ</v>
      </c>
      <c r="L255" s="12" t="n">
        <f aca="false">IF(AND(ISNUMBER(G255),G255&gt;0,ISNUMBER(I255)),I255/G255,"")</f>
        <v>0</v>
      </c>
      <c r="M255" s="10" t="s">
        <v>94</v>
      </c>
      <c r="N255" s="10" t="s">
        <v>433</v>
      </c>
      <c r="O255" s="10"/>
    </row>
    <row r="256" customFormat="false" ht="15" hidden="false" customHeight="false" outlineLevel="0" collapsed="false">
      <c r="A256" s="10" t="n">
        <v>255</v>
      </c>
      <c r="B256" s="10" t="s">
        <v>434</v>
      </c>
      <c r="C256" s="10" t="s">
        <v>431</v>
      </c>
      <c r="D256" s="10" t="s">
        <v>432</v>
      </c>
      <c r="E256" s="10" t="s">
        <v>92</v>
      </c>
      <c r="F256" s="10" t="s">
        <v>93</v>
      </c>
      <c r="G256" s="11" t="n">
        <v>177</v>
      </c>
      <c r="H256" s="11" t="n">
        <v>24</v>
      </c>
      <c r="I256" s="11" t="n">
        <v>4</v>
      </c>
      <c r="J256" s="11" t="n">
        <v>0</v>
      </c>
      <c r="K256" s="10" t="str">
        <f aca="false">IF(ISNUMBER(J256),IF(J256&lt;10,"ультра-НЧ",IF(J256&lt;100,"НЧ",IF(J256&lt;=1000,"СЧ","ВЧ"))),IF(ISNUMBER(I256),IF(I256&lt;10,"ультра-НЧ",IF(I256&lt;100,"НЧ",IF(I256&lt;=1000,"СЧ","ВЧ"))),"нет данных"))</f>
        <v>ультра-НЧ</v>
      </c>
      <c r="L256" s="12" t="n">
        <f aca="false">IF(AND(ISNUMBER(G256),G256&gt;0,ISNUMBER(I256)),I256/G256,"")</f>
        <v>0.0225988700564972</v>
      </c>
      <c r="M256" s="10" t="s">
        <v>94</v>
      </c>
      <c r="N256" s="10" t="s">
        <v>435</v>
      </c>
      <c r="O256" s="10"/>
    </row>
    <row r="257" customFormat="false" ht="15" hidden="false" customHeight="false" outlineLevel="0" collapsed="false">
      <c r="A257" s="10" t="n">
        <v>256</v>
      </c>
      <c r="B257" s="10" t="s">
        <v>436</v>
      </c>
      <c r="C257" s="10" t="s">
        <v>431</v>
      </c>
      <c r="D257" s="10" t="s">
        <v>432</v>
      </c>
      <c r="E257" s="10" t="s">
        <v>92</v>
      </c>
      <c r="F257" s="10" t="s">
        <v>93</v>
      </c>
      <c r="G257" s="11" t="n">
        <v>40</v>
      </c>
      <c r="H257" s="11" t="n">
        <v>2</v>
      </c>
      <c r="I257" s="11" t="n">
        <v>2</v>
      </c>
      <c r="J257" s="11" t="n">
        <v>0</v>
      </c>
      <c r="K257" s="10" t="str">
        <f aca="false">IF(ISNUMBER(J257),IF(J257&lt;10,"ультра-НЧ",IF(J257&lt;100,"НЧ",IF(J257&lt;=1000,"СЧ","ВЧ"))),IF(ISNUMBER(I257),IF(I257&lt;10,"ультра-НЧ",IF(I257&lt;100,"НЧ",IF(I257&lt;=1000,"СЧ","ВЧ"))),"нет данных"))</f>
        <v>ультра-НЧ</v>
      </c>
      <c r="L257" s="12" t="n">
        <f aca="false">IF(AND(ISNUMBER(G257),G257&gt;0,ISNUMBER(I257)),I257/G257,"")</f>
        <v>0.05</v>
      </c>
      <c r="M257" s="10" t="s">
        <v>94</v>
      </c>
      <c r="N257" s="10" t="s">
        <v>436</v>
      </c>
      <c r="O257" s="10"/>
    </row>
    <row r="258" customFormat="false" ht="15" hidden="false" customHeight="false" outlineLevel="0" collapsed="false">
      <c r="A258" s="10" t="n">
        <v>257</v>
      </c>
      <c r="B258" s="10" t="s">
        <v>437</v>
      </c>
      <c r="C258" s="10" t="s">
        <v>431</v>
      </c>
      <c r="D258" s="10" t="s">
        <v>432</v>
      </c>
      <c r="E258" s="10" t="s">
        <v>92</v>
      </c>
      <c r="F258" s="10" t="s">
        <v>93</v>
      </c>
      <c r="G258" s="11" t="n">
        <v>163</v>
      </c>
      <c r="H258" s="11" t="n">
        <v>2</v>
      </c>
      <c r="I258" s="11" t="n">
        <v>5</v>
      </c>
      <c r="J258" s="11" t="n">
        <v>1</v>
      </c>
      <c r="K258" s="10" t="str">
        <f aca="false">IF(ISNUMBER(J258),IF(J258&lt;10,"ультра-НЧ",IF(J258&lt;100,"НЧ",IF(J258&lt;=1000,"СЧ","ВЧ"))),IF(ISNUMBER(I258),IF(I258&lt;10,"ультра-НЧ",IF(I258&lt;100,"НЧ",IF(I258&lt;=1000,"СЧ","ВЧ"))),"нет данных"))</f>
        <v>ультра-НЧ</v>
      </c>
      <c r="L258" s="12" t="n">
        <f aca="false">IF(AND(ISNUMBER(G258),G258&gt;0,ISNUMBER(I258)),I258/G258,"")</f>
        <v>0.0306748466257669</v>
      </c>
      <c r="M258" s="10" t="s">
        <v>112</v>
      </c>
      <c r="N258" s="10" t="s">
        <v>438</v>
      </c>
      <c r="O258" s="10"/>
    </row>
    <row r="259" customFormat="false" ht="15" hidden="false" customHeight="false" outlineLevel="0" collapsed="false">
      <c r="A259" s="10" t="n">
        <v>258</v>
      </c>
      <c r="B259" s="10" t="s">
        <v>439</v>
      </c>
      <c r="C259" s="10" t="s">
        <v>431</v>
      </c>
      <c r="D259" s="10" t="s">
        <v>432</v>
      </c>
      <c r="E259" s="10" t="s">
        <v>92</v>
      </c>
      <c r="F259" s="10" t="s">
        <v>93</v>
      </c>
      <c r="G259" s="11" t="n">
        <v>1</v>
      </c>
      <c r="H259" s="11" t="n">
        <v>0</v>
      </c>
      <c r="I259" s="11" t="n">
        <v>0</v>
      </c>
      <c r="J259" s="11" t="n">
        <v>0</v>
      </c>
      <c r="K259" s="10" t="str">
        <f aca="false">IF(ISNUMBER(J259),IF(J259&lt;10,"ультра-НЧ",IF(J259&lt;100,"НЧ",IF(J259&lt;=1000,"СЧ","ВЧ"))),IF(ISNUMBER(I259),IF(I259&lt;10,"ультра-НЧ",IF(I259&lt;100,"НЧ",IF(I259&lt;=1000,"СЧ","ВЧ"))),"нет данных"))</f>
        <v>ультра-НЧ</v>
      </c>
      <c r="L259" s="12" t="n">
        <f aca="false">IF(AND(ISNUMBER(G259),G259&gt;0,ISNUMBER(I259)),I259/G259,"")</f>
        <v>0</v>
      </c>
      <c r="M259" s="10" t="s">
        <v>94</v>
      </c>
      <c r="N259" s="10" t="s">
        <v>439</v>
      </c>
      <c r="O259" s="10"/>
    </row>
    <row r="260" customFormat="false" ht="15" hidden="false" customHeight="false" outlineLevel="0" collapsed="false">
      <c r="A260" s="10" t="n">
        <v>259</v>
      </c>
      <c r="B260" s="10" t="s">
        <v>440</v>
      </c>
      <c r="C260" s="10" t="s">
        <v>431</v>
      </c>
      <c r="D260" s="10" t="s">
        <v>432</v>
      </c>
      <c r="E260" s="10" t="s">
        <v>92</v>
      </c>
      <c r="F260" s="10" t="s">
        <v>93</v>
      </c>
      <c r="G260" s="11" t="n">
        <v>8</v>
      </c>
      <c r="H260" s="11" t="n">
        <v>2</v>
      </c>
      <c r="I260" s="11" t="n">
        <v>1</v>
      </c>
      <c r="J260" s="11" t="n">
        <v>0</v>
      </c>
      <c r="K260" s="10" t="str">
        <f aca="false">IF(ISNUMBER(J260),IF(J260&lt;10,"ультра-НЧ",IF(J260&lt;100,"НЧ",IF(J260&lt;=1000,"СЧ","ВЧ"))),IF(ISNUMBER(I260),IF(I260&lt;10,"ультра-НЧ",IF(I260&lt;100,"НЧ",IF(I260&lt;=1000,"СЧ","ВЧ"))),"нет данных"))</f>
        <v>ультра-НЧ</v>
      </c>
      <c r="L260" s="12" t="n">
        <f aca="false">IF(AND(ISNUMBER(G260),G260&gt;0,ISNUMBER(I260)),I260/G260,"")</f>
        <v>0.125</v>
      </c>
      <c r="M260" s="10" t="s">
        <v>94</v>
      </c>
      <c r="N260" s="10" t="s">
        <v>440</v>
      </c>
      <c r="O260" s="10"/>
    </row>
    <row r="261" customFormat="false" ht="15" hidden="false" customHeight="false" outlineLevel="0" collapsed="false">
      <c r="A261" s="10" t="n">
        <v>260</v>
      </c>
      <c r="B261" s="10" t="s">
        <v>441</v>
      </c>
      <c r="C261" s="10" t="s">
        <v>431</v>
      </c>
      <c r="D261" s="10" t="s">
        <v>432</v>
      </c>
      <c r="E261" s="10" t="s">
        <v>92</v>
      </c>
      <c r="F261" s="10" t="s">
        <v>93</v>
      </c>
      <c r="G261" s="11" t="n">
        <v>1</v>
      </c>
      <c r="H261" s="11" t="n">
        <v>0</v>
      </c>
      <c r="I261" s="11" t="n">
        <v>0</v>
      </c>
      <c r="J261" s="11" t="n">
        <v>0</v>
      </c>
      <c r="K261" s="10" t="str">
        <f aca="false">IF(ISNUMBER(J261),IF(J261&lt;10,"ультра-НЧ",IF(J261&lt;100,"НЧ",IF(J261&lt;=1000,"СЧ","ВЧ"))),IF(ISNUMBER(I261),IF(I261&lt;10,"ультра-НЧ",IF(I261&lt;100,"НЧ",IF(I261&lt;=1000,"СЧ","ВЧ"))),"нет данных"))</f>
        <v>ультра-НЧ</v>
      </c>
      <c r="L261" s="12" t="n">
        <f aca="false">IF(AND(ISNUMBER(G261),G261&gt;0,ISNUMBER(I261)),I261/G261,"")</f>
        <v>0</v>
      </c>
      <c r="M261" s="10" t="s">
        <v>94</v>
      </c>
      <c r="N261" s="10" t="s">
        <v>442</v>
      </c>
      <c r="O261" s="10"/>
    </row>
    <row r="262" customFormat="false" ht="15" hidden="false" customHeight="false" outlineLevel="0" collapsed="false">
      <c r="A262" s="10" t="n">
        <v>261</v>
      </c>
      <c r="B262" s="10" t="s">
        <v>443</v>
      </c>
      <c r="C262" s="10" t="s">
        <v>431</v>
      </c>
      <c r="D262" s="10" t="s">
        <v>432</v>
      </c>
      <c r="E262" s="10" t="s">
        <v>92</v>
      </c>
      <c r="F262" s="10" t="s">
        <v>93</v>
      </c>
      <c r="G262" s="11"/>
      <c r="H262" s="11"/>
      <c r="I262" s="11"/>
      <c r="J262" s="11"/>
      <c r="K262" s="10" t="str">
        <f aca="false">IF(ISNUMBER(J262),IF(J262&lt;10,"ультра-НЧ",IF(J262&lt;100,"НЧ",IF(J262&lt;=1000,"СЧ","ВЧ"))),IF(ISNUMBER(I262),IF(I262&lt;10,"ультра-НЧ",IF(I262&lt;100,"НЧ",IF(I262&lt;=1000,"СЧ","ВЧ"))),"нет данных"))</f>
        <v>нет данных</v>
      </c>
      <c r="L262" s="12" t="str">
        <f aca="false">IF(AND(ISNUMBER(G262),G262&gt;0,ISNUMBER(I262)),I262/G262,"")</f>
        <v/>
      </c>
      <c r="M262" s="10" t="s">
        <v>391</v>
      </c>
      <c r="N262" s="10" t="s">
        <v>444</v>
      </c>
      <c r="O262" s="10"/>
    </row>
    <row r="263" customFormat="false" ht="15" hidden="false" customHeight="false" outlineLevel="0" collapsed="false">
      <c r="A263" s="10" t="n">
        <v>262</v>
      </c>
      <c r="B263" s="10" t="s">
        <v>445</v>
      </c>
      <c r="C263" s="10" t="s">
        <v>431</v>
      </c>
      <c r="D263" s="10" t="s">
        <v>432</v>
      </c>
      <c r="E263" s="10" t="s">
        <v>92</v>
      </c>
      <c r="F263" s="10" t="s">
        <v>93</v>
      </c>
      <c r="G263" s="11"/>
      <c r="H263" s="11" t="n">
        <v>0</v>
      </c>
      <c r="I263" s="11" t="n">
        <v>0</v>
      </c>
      <c r="J263" s="11" t="n">
        <v>0</v>
      </c>
      <c r="K263" s="10" t="str">
        <f aca="false">IF(ISNUMBER(J263),IF(J263&lt;10,"ультра-НЧ",IF(J263&lt;100,"НЧ",IF(J263&lt;=1000,"СЧ","ВЧ"))),IF(ISNUMBER(I263),IF(I263&lt;10,"ультра-НЧ",IF(I263&lt;100,"НЧ",IF(I263&lt;=1000,"СЧ","ВЧ"))),"нет данных"))</f>
        <v>ультра-НЧ</v>
      </c>
      <c r="L263" s="12" t="str">
        <f aca="false">IF(AND(ISNUMBER(G263),G263&gt;0,ISNUMBER(I263)),I263/G263,"")</f>
        <v/>
      </c>
      <c r="M263" s="10" t="s">
        <v>94</v>
      </c>
      <c r="N263" s="10" t="s">
        <v>446</v>
      </c>
      <c r="O263" s="10"/>
    </row>
    <row r="264" customFormat="false" ht="15" hidden="false" customHeight="false" outlineLevel="0" collapsed="false">
      <c r="A264" s="10" t="n">
        <v>263</v>
      </c>
      <c r="B264" s="10" t="s">
        <v>447</v>
      </c>
      <c r="C264" s="10" t="s">
        <v>431</v>
      </c>
      <c r="D264" s="10" t="s">
        <v>432</v>
      </c>
      <c r="E264" s="10" t="s">
        <v>92</v>
      </c>
      <c r="F264" s="10" t="s">
        <v>93</v>
      </c>
      <c r="G264" s="11"/>
      <c r="H264" s="11" t="n">
        <v>0</v>
      </c>
      <c r="I264" s="11" t="n">
        <v>0</v>
      </c>
      <c r="J264" s="11" t="n">
        <v>0</v>
      </c>
      <c r="K264" s="10" t="str">
        <f aca="false">IF(ISNUMBER(J264),IF(J264&lt;10,"ультра-НЧ",IF(J264&lt;100,"НЧ",IF(J264&lt;=1000,"СЧ","ВЧ"))),IF(ISNUMBER(I264),IF(I264&lt;10,"ультра-НЧ",IF(I264&lt;100,"НЧ",IF(I264&lt;=1000,"СЧ","ВЧ"))),"нет данных"))</f>
        <v>ультра-НЧ</v>
      </c>
      <c r="L264" s="12" t="str">
        <f aca="false">IF(AND(ISNUMBER(G264),G264&gt;0,ISNUMBER(I264)),I264/G264,"")</f>
        <v/>
      </c>
      <c r="M264" s="10" t="s">
        <v>94</v>
      </c>
      <c r="N264" s="10" t="s">
        <v>448</v>
      </c>
      <c r="O264" s="10"/>
    </row>
    <row r="265" customFormat="false" ht="15" hidden="false" customHeight="false" outlineLevel="0" collapsed="false">
      <c r="A265" s="10" t="n">
        <v>264</v>
      </c>
      <c r="B265" s="10" t="s">
        <v>449</v>
      </c>
      <c r="C265" s="10" t="s">
        <v>431</v>
      </c>
      <c r="D265" s="10" t="s">
        <v>432</v>
      </c>
      <c r="E265" s="10" t="s">
        <v>92</v>
      </c>
      <c r="F265" s="10" t="s">
        <v>93</v>
      </c>
      <c r="G265" s="11"/>
      <c r="H265" s="11" t="n">
        <v>0</v>
      </c>
      <c r="I265" s="11" t="n">
        <v>0</v>
      </c>
      <c r="J265" s="11" t="n">
        <v>0</v>
      </c>
      <c r="K265" s="10" t="str">
        <f aca="false">IF(ISNUMBER(J265),IF(J265&lt;10,"ультра-НЧ",IF(J265&lt;100,"НЧ",IF(J265&lt;=1000,"СЧ","ВЧ"))),IF(ISNUMBER(I265),IF(I265&lt;10,"ультра-НЧ",IF(I265&lt;100,"НЧ",IF(I265&lt;=1000,"СЧ","ВЧ"))),"нет данных"))</f>
        <v>ультра-НЧ</v>
      </c>
      <c r="L265" s="12" t="str">
        <f aca="false">IF(AND(ISNUMBER(G265),G265&gt;0,ISNUMBER(I265)),I265/G265,"")</f>
        <v/>
      </c>
      <c r="M265" s="10" t="s">
        <v>94</v>
      </c>
      <c r="N265" s="10" t="s">
        <v>450</v>
      </c>
      <c r="O265" s="10"/>
    </row>
    <row r="266" customFormat="false" ht="15" hidden="false" customHeight="false" outlineLevel="0" collapsed="false">
      <c r="A266" s="10" t="n">
        <v>265</v>
      </c>
      <c r="B266" s="10" t="s">
        <v>451</v>
      </c>
      <c r="C266" s="10" t="s">
        <v>431</v>
      </c>
      <c r="D266" s="10" t="s">
        <v>432</v>
      </c>
      <c r="E266" s="10" t="s">
        <v>92</v>
      </c>
      <c r="F266" s="10" t="s">
        <v>136</v>
      </c>
      <c r="G266" s="11" t="n">
        <v>97</v>
      </c>
      <c r="H266" s="11"/>
      <c r="I266" s="11"/>
      <c r="J266" s="11"/>
      <c r="K266" s="10" t="str">
        <f aca="false">IF(ISNUMBER(J266),IF(J266&lt;10,"ультра-НЧ",IF(J266&lt;100,"НЧ",IF(J266&lt;=1000,"СЧ","ВЧ"))),IF(ISNUMBER(I266),IF(I266&lt;10,"ультра-НЧ",IF(I266&lt;100,"НЧ",IF(I266&lt;=1000,"СЧ","ВЧ"))),"нет данных"))</f>
        <v>нет данных</v>
      </c>
      <c r="L266" s="12" t="str">
        <f aca="false">IF(AND(ISNUMBER(G266),G266&gt;0,ISNUMBER(I266)),I266/G266,"")</f>
        <v/>
      </c>
      <c r="M266" s="10" t="s">
        <v>94</v>
      </c>
      <c r="N266" s="10" t="s">
        <v>451</v>
      </c>
      <c r="O266" s="10"/>
    </row>
    <row r="267" customFormat="false" ht="15" hidden="false" customHeight="false" outlineLevel="0" collapsed="false">
      <c r="A267" s="10" t="n">
        <v>266</v>
      </c>
      <c r="B267" s="10" t="s">
        <v>452</v>
      </c>
      <c r="C267" s="10" t="s">
        <v>431</v>
      </c>
      <c r="D267" s="10" t="s">
        <v>432</v>
      </c>
      <c r="E267" s="10" t="s">
        <v>92</v>
      </c>
      <c r="F267" s="10" t="s">
        <v>136</v>
      </c>
      <c r="G267" s="11" t="n">
        <v>68</v>
      </c>
      <c r="H267" s="11"/>
      <c r="I267" s="11"/>
      <c r="J267" s="11"/>
      <c r="K267" s="10" t="str">
        <f aca="false">IF(ISNUMBER(J267),IF(J267&lt;10,"ультра-НЧ",IF(J267&lt;100,"НЧ",IF(J267&lt;=1000,"СЧ","ВЧ"))),IF(ISNUMBER(I267),IF(I267&lt;10,"ультра-НЧ",IF(I267&lt;100,"НЧ",IF(I267&lt;=1000,"СЧ","ВЧ"))),"нет данных"))</f>
        <v>нет данных</v>
      </c>
      <c r="L267" s="12" t="str">
        <f aca="false">IF(AND(ISNUMBER(G267),G267&gt;0,ISNUMBER(I267)),I267/G267,"")</f>
        <v/>
      </c>
      <c r="M267" s="10" t="s">
        <v>94</v>
      </c>
      <c r="N267" s="10" t="s">
        <v>452</v>
      </c>
      <c r="O267" s="10"/>
    </row>
    <row r="268" customFormat="false" ht="15" hidden="false" customHeight="false" outlineLevel="0" collapsed="false">
      <c r="A268" s="10" t="n">
        <v>267</v>
      </c>
      <c r="B268" s="10" t="s">
        <v>453</v>
      </c>
      <c r="C268" s="10" t="s">
        <v>454</v>
      </c>
      <c r="D268" s="10" t="s">
        <v>455</v>
      </c>
      <c r="E268" s="10" t="s">
        <v>92</v>
      </c>
      <c r="F268" s="10" t="s">
        <v>93</v>
      </c>
      <c r="G268" s="11" t="n">
        <v>197</v>
      </c>
      <c r="H268" s="11"/>
      <c r="I268" s="11"/>
      <c r="J268" s="11"/>
      <c r="K268" s="10" t="str">
        <f aca="false">IF(ISNUMBER(J268),IF(J268&lt;10,"ультра-НЧ",IF(J268&lt;100,"НЧ",IF(J268&lt;=1000,"СЧ","ВЧ"))),IF(ISNUMBER(I268),IF(I268&lt;10,"ультра-НЧ",IF(I268&lt;100,"НЧ",IF(I268&lt;=1000,"СЧ","ВЧ"))),"нет данных"))</f>
        <v>нет данных</v>
      </c>
      <c r="L268" s="12" t="str">
        <f aca="false">IF(AND(ISNUMBER(G268),G268&gt;0,ISNUMBER(I268)),I268/G268,"")</f>
        <v/>
      </c>
      <c r="M268" s="10" t="s">
        <v>112</v>
      </c>
      <c r="N268" s="10" t="s">
        <v>453</v>
      </c>
      <c r="O268" s="10"/>
    </row>
    <row r="269" customFormat="false" ht="15" hidden="false" customHeight="false" outlineLevel="0" collapsed="false">
      <c r="A269" s="10" t="n">
        <v>268</v>
      </c>
      <c r="B269" s="10" t="s">
        <v>456</v>
      </c>
      <c r="C269" s="10" t="s">
        <v>454</v>
      </c>
      <c r="D269" s="10" t="s">
        <v>455</v>
      </c>
      <c r="E269" s="10" t="s">
        <v>92</v>
      </c>
      <c r="F269" s="10" t="s">
        <v>93</v>
      </c>
      <c r="G269" s="11" t="n">
        <v>29</v>
      </c>
      <c r="H269" s="11" t="n">
        <v>0</v>
      </c>
      <c r="I269" s="11" t="n">
        <v>0</v>
      </c>
      <c r="J269" s="11" t="n">
        <v>0</v>
      </c>
      <c r="K269" s="10" t="str">
        <f aca="false">IF(ISNUMBER(J269),IF(J269&lt;10,"ультра-НЧ",IF(J269&lt;100,"НЧ",IF(J269&lt;=1000,"СЧ","ВЧ"))),IF(ISNUMBER(I269),IF(I269&lt;10,"ультра-НЧ",IF(I269&lt;100,"НЧ",IF(I269&lt;=1000,"СЧ","ВЧ"))),"нет данных"))</f>
        <v>ультра-НЧ</v>
      </c>
      <c r="L269" s="12" t="n">
        <f aca="false">IF(AND(ISNUMBER(G269),G269&gt;0,ISNUMBER(I269)),I269/G269,"")</f>
        <v>0</v>
      </c>
      <c r="M269" s="10" t="s">
        <v>94</v>
      </c>
      <c r="N269" s="10" t="s">
        <v>456</v>
      </c>
      <c r="O269" s="10"/>
    </row>
    <row r="270" customFormat="false" ht="15" hidden="false" customHeight="false" outlineLevel="0" collapsed="false">
      <c r="A270" s="10" t="n">
        <v>269</v>
      </c>
      <c r="B270" s="10" t="s">
        <v>457</v>
      </c>
      <c r="C270" s="10" t="s">
        <v>454</v>
      </c>
      <c r="D270" s="10" t="s">
        <v>455</v>
      </c>
      <c r="E270" s="10" t="s">
        <v>92</v>
      </c>
      <c r="F270" s="10" t="s">
        <v>93</v>
      </c>
      <c r="G270" s="11" t="n">
        <v>25</v>
      </c>
      <c r="H270" s="11" t="n">
        <v>0</v>
      </c>
      <c r="I270" s="11" t="n">
        <v>0</v>
      </c>
      <c r="J270" s="11" t="n">
        <v>0</v>
      </c>
      <c r="K270" s="10" t="str">
        <f aca="false">IF(ISNUMBER(J270),IF(J270&lt;10,"ультра-НЧ",IF(J270&lt;100,"НЧ",IF(J270&lt;=1000,"СЧ","ВЧ"))),IF(ISNUMBER(I270),IF(I270&lt;10,"ультра-НЧ",IF(I270&lt;100,"НЧ",IF(I270&lt;=1000,"СЧ","ВЧ"))),"нет данных"))</f>
        <v>ультра-НЧ</v>
      </c>
      <c r="L270" s="12" t="n">
        <f aca="false">IF(AND(ISNUMBER(G270),G270&gt;0,ISNUMBER(I270)),I270/G270,"")</f>
        <v>0</v>
      </c>
      <c r="M270" s="10" t="s">
        <v>94</v>
      </c>
      <c r="N270" s="10" t="s">
        <v>458</v>
      </c>
      <c r="O270" s="10"/>
    </row>
    <row r="271" customFormat="false" ht="15" hidden="false" customHeight="false" outlineLevel="0" collapsed="false">
      <c r="A271" s="10" t="n">
        <v>270</v>
      </c>
      <c r="B271" s="10" t="s">
        <v>459</v>
      </c>
      <c r="C271" s="10" t="s">
        <v>454</v>
      </c>
      <c r="D271" s="10" t="s">
        <v>455</v>
      </c>
      <c r="E271" s="10" t="s">
        <v>92</v>
      </c>
      <c r="F271" s="10" t="s">
        <v>93</v>
      </c>
      <c r="G271" s="11" t="n">
        <v>23</v>
      </c>
      <c r="H271" s="11" t="n">
        <v>2</v>
      </c>
      <c r="I271" s="11" t="n">
        <v>0</v>
      </c>
      <c r="J271" s="11" t="n">
        <v>0</v>
      </c>
      <c r="K271" s="10" t="str">
        <f aca="false">IF(ISNUMBER(J271),IF(J271&lt;10,"ультра-НЧ",IF(J271&lt;100,"НЧ",IF(J271&lt;=1000,"СЧ","ВЧ"))),IF(ISNUMBER(I271),IF(I271&lt;10,"ультра-НЧ",IF(I271&lt;100,"НЧ",IF(I271&lt;=1000,"СЧ","ВЧ"))),"нет данных"))</f>
        <v>ультра-НЧ</v>
      </c>
      <c r="L271" s="12" t="n">
        <f aca="false">IF(AND(ISNUMBER(G271),G271&gt;0,ISNUMBER(I271)),I271/G271,"")</f>
        <v>0</v>
      </c>
      <c r="M271" s="10" t="s">
        <v>94</v>
      </c>
      <c r="N271" s="10" t="s">
        <v>460</v>
      </c>
      <c r="O271" s="10"/>
    </row>
    <row r="272" customFormat="false" ht="15" hidden="false" customHeight="false" outlineLevel="0" collapsed="false">
      <c r="A272" s="10" t="n">
        <v>271</v>
      </c>
      <c r="B272" s="10" t="s">
        <v>461</v>
      </c>
      <c r="C272" s="10" t="s">
        <v>454</v>
      </c>
      <c r="D272" s="10" t="s">
        <v>455</v>
      </c>
      <c r="E272" s="10" t="s">
        <v>92</v>
      </c>
      <c r="F272" s="10" t="s">
        <v>93</v>
      </c>
      <c r="G272" s="11" t="n">
        <v>17</v>
      </c>
      <c r="H272" s="11" t="n">
        <v>3</v>
      </c>
      <c r="I272" s="11" t="n">
        <v>0</v>
      </c>
      <c r="J272" s="11" t="n">
        <v>0</v>
      </c>
      <c r="K272" s="10" t="str">
        <f aca="false">IF(ISNUMBER(J272),IF(J272&lt;10,"ультра-НЧ",IF(J272&lt;100,"НЧ",IF(J272&lt;=1000,"СЧ","ВЧ"))),IF(ISNUMBER(I272),IF(I272&lt;10,"ультра-НЧ",IF(I272&lt;100,"НЧ",IF(I272&lt;=1000,"СЧ","ВЧ"))),"нет данных"))</f>
        <v>ультра-НЧ</v>
      </c>
      <c r="L272" s="12" t="n">
        <f aca="false">IF(AND(ISNUMBER(G272),G272&gt;0,ISNUMBER(I272)),I272/G272,"")</f>
        <v>0</v>
      </c>
      <c r="M272" s="10" t="s">
        <v>94</v>
      </c>
      <c r="N272" s="10" t="s">
        <v>462</v>
      </c>
      <c r="O272" s="10"/>
    </row>
    <row r="273" customFormat="false" ht="15" hidden="false" customHeight="false" outlineLevel="0" collapsed="false">
      <c r="A273" s="10" t="n">
        <v>272</v>
      </c>
      <c r="B273" s="10" t="s">
        <v>463</v>
      </c>
      <c r="C273" s="10" t="s">
        <v>454</v>
      </c>
      <c r="D273" s="10" t="s">
        <v>455</v>
      </c>
      <c r="E273" s="10" t="s">
        <v>92</v>
      </c>
      <c r="F273" s="10" t="s">
        <v>93</v>
      </c>
      <c r="G273" s="11" t="n">
        <v>662</v>
      </c>
      <c r="H273" s="11" t="n">
        <v>42</v>
      </c>
      <c r="I273" s="11" t="n">
        <v>18</v>
      </c>
      <c r="J273" s="11" t="n">
        <v>2</v>
      </c>
      <c r="K273" s="10" t="str">
        <f aca="false">IF(ISNUMBER(J273),IF(J273&lt;10,"ультра-НЧ",IF(J273&lt;100,"НЧ",IF(J273&lt;=1000,"СЧ","ВЧ"))),IF(ISNUMBER(I273),IF(I273&lt;10,"ультра-НЧ",IF(I273&lt;100,"НЧ",IF(I273&lt;=1000,"СЧ","ВЧ"))),"нет данных"))</f>
        <v>ультра-НЧ</v>
      </c>
      <c r="L273" s="12" t="n">
        <f aca="false">IF(AND(ISNUMBER(G273),G273&gt;0,ISNUMBER(I273)),I273/G273,"")</f>
        <v>0.027190332326284</v>
      </c>
      <c r="M273" s="10" t="s">
        <v>112</v>
      </c>
      <c r="N273" s="10" t="s">
        <v>463</v>
      </c>
      <c r="O273" s="10"/>
    </row>
    <row r="274" customFormat="false" ht="15" hidden="false" customHeight="false" outlineLevel="0" collapsed="false">
      <c r="A274" s="10" t="n">
        <v>273</v>
      </c>
      <c r="B274" s="10" t="s">
        <v>464</v>
      </c>
      <c r="C274" s="10" t="s">
        <v>454</v>
      </c>
      <c r="D274" s="10" t="s">
        <v>455</v>
      </c>
      <c r="E274" s="10" t="s">
        <v>92</v>
      </c>
      <c r="F274" s="10" t="s">
        <v>93</v>
      </c>
      <c r="G274" s="11" t="n">
        <v>172</v>
      </c>
      <c r="H274" s="11" t="n">
        <v>0</v>
      </c>
      <c r="I274" s="11" t="n">
        <v>2</v>
      </c>
      <c r="J274" s="11" t="n">
        <v>0</v>
      </c>
      <c r="K274" s="10" t="str">
        <f aca="false">IF(ISNUMBER(J274),IF(J274&lt;10,"ультра-НЧ",IF(J274&lt;100,"НЧ",IF(J274&lt;=1000,"СЧ","ВЧ"))),IF(ISNUMBER(I274),IF(I274&lt;10,"ультра-НЧ",IF(I274&lt;100,"НЧ",IF(I274&lt;=1000,"СЧ","ВЧ"))),"нет данных"))</f>
        <v>ультра-НЧ</v>
      </c>
      <c r="L274" s="12" t="n">
        <f aca="false">IF(AND(ISNUMBER(G274),G274&gt;0,ISNUMBER(I274)),I274/G274,"")</f>
        <v>0.0116279069767442</v>
      </c>
      <c r="M274" s="10" t="s">
        <v>94</v>
      </c>
      <c r="N274" s="10" t="s">
        <v>464</v>
      </c>
      <c r="O274" s="10"/>
    </row>
    <row r="275" customFormat="false" ht="15" hidden="false" customHeight="false" outlineLevel="0" collapsed="false">
      <c r="A275" s="10" t="n">
        <v>274</v>
      </c>
      <c r="B275" s="10" t="s">
        <v>465</v>
      </c>
      <c r="C275" s="10" t="s">
        <v>454</v>
      </c>
      <c r="D275" s="10" t="s">
        <v>455</v>
      </c>
      <c r="E275" s="10" t="s">
        <v>92</v>
      </c>
      <c r="F275" s="10" t="s">
        <v>93</v>
      </c>
      <c r="G275" s="11" t="n">
        <v>195</v>
      </c>
      <c r="H275" s="11" t="n">
        <v>2</v>
      </c>
      <c r="I275" s="11" t="n">
        <v>1</v>
      </c>
      <c r="J275" s="11" t="n">
        <v>0</v>
      </c>
      <c r="K275" s="10" t="str">
        <f aca="false">IF(ISNUMBER(J275),IF(J275&lt;10,"ультра-НЧ",IF(J275&lt;100,"НЧ",IF(J275&lt;=1000,"СЧ","ВЧ"))),IF(ISNUMBER(I275),IF(I275&lt;10,"ультра-НЧ",IF(I275&lt;100,"НЧ",IF(I275&lt;=1000,"СЧ","ВЧ"))),"нет данных"))</f>
        <v>ультра-НЧ</v>
      </c>
      <c r="L275" s="12" t="n">
        <f aca="false">IF(AND(ISNUMBER(G275),G275&gt;0,ISNUMBER(I275)),I275/G275,"")</f>
        <v>0.00512820512820513</v>
      </c>
      <c r="M275" s="10" t="s">
        <v>94</v>
      </c>
      <c r="N275" s="10" t="s">
        <v>465</v>
      </c>
      <c r="O275" s="10"/>
    </row>
    <row r="276" customFormat="false" ht="15" hidden="false" customHeight="false" outlineLevel="0" collapsed="false">
      <c r="A276" s="10" t="n">
        <v>275</v>
      </c>
      <c r="B276" s="10" t="s">
        <v>466</v>
      </c>
      <c r="C276" s="10" t="s">
        <v>454</v>
      </c>
      <c r="D276" s="10" t="s">
        <v>455</v>
      </c>
      <c r="E276" s="10" t="s">
        <v>92</v>
      </c>
      <c r="F276" s="10" t="s">
        <v>93</v>
      </c>
      <c r="G276" s="11" t="n">
        <v>1</v>
      </c>
      <c r="H276" s="11" t="n">
        <v>0</v>
      </c>
      <c r="I276" s="11" t="n">
        <v>0</v>
      </c>
      <c r="J276" s="11" t="n">
        <v>0</v>
      </c>
      <c r="K276" s="10" t="str">
        <f aca="false">IF(ISNUMBER(J276),IF(J276&lt;10,"ультра-НЧ",IF(J276&lt;100,"НЧ",IF(J276&lt;=1000,"СЧ","ВЧ"))),IF(ISNUMBER(I276),IF(I276&lt;10,"ультра-НЧ",IF(I276&lt;100,"НЧ",IF(I276&lt;=1000,"СЧ","ВЧ"))),"нет данных"))</f>
        <v>ультра-НЧ</v>
      </c>
      <c r="L276" s="12" t="n">
        <f aca="false">IF(AND(ISNUMBER(G276),G276&gt;0,ISNUMBER(I276)),I276/G276,"")</f>
        <v>0</v>
      </c>
      <c r="M276" s="10" t="s">
        <v>94</v>
      </c>
      <c r="N276" s="10" t="s">
        <v>466</v>
      </c>
      <c r="O276" s="10"/>
    </row>
    <row r="277" customFormat="false" ht="15" hidden="false" customHeight="false" outlineLevel="0" collapsed="false">
      <c r="A277" s="10" t="n">
        <v>276</v>
      </c>
      <c r="B277" s="10" t="s">
        <v>467</v>
      </c>
      <c r="C277" s="10" t="s">
        <v>454</v>
      </c>
      <c r="D277" s="10" t="s">
        <v>455</v>
      </c>
      <c r="E277" s="10" t="s">
        <v>92</v>
      </c>
      <c r="F277" s="10" t="s">
        <v>93</v>
      </c>
      <c r="G277" s="11" t="n">
        <v>1</v>
      </c>
      <c r="H277" s="11" t="n">
        <v>0</v>
      </c>
      <c r="I277" s="11" t="n">
        <v>0</v>
      </c>
      <c r="J277" s="11" t="n">
        <v>0</v>
      </c>
      <c r="K277" s="10" t="str">
        <f aca="false">IF(ISNUMBER(J277),IF(J277&lt;10,"ультра-НЧ",IF(J277&lt;100,"НЧ",IF(J277&lt;=1000,"СЧ","ВЧ"))),IF(ISNUMBER(I277),IF(I277&lt;10,"ультра-НЧ",IF(I277&lt;100,"НЧ",IF(I277&lt;=1000,"СЧ","ВЧ"))),"нет данных"))</f>
        <v>ультра-НЧ</v>
      </c>
      <c r="L277" s="12" t="n">
        <f aca="false">IF(AND(ISNUMBER(G277),G277&gt;0,ISNUMBER(I277)),I277/G277,"")</f>
        <v>0</v>
      </c>
      <c r="M277" s="10" t="s">
        <v>94</v>
      </c>
      <c r="N277" s="10" t="s">
        <v>467</v>
      </c>
      <c r="O277" s="10"/>
    </row>
    <row r="278" customFormat="false" ht="15" hidden="false" customHeight="false" outlineLevel="0" collapsed="false">
      <c r="A278" s="10" t="n">
        <v>277</v>
      </c>
      <c r="B278" s="10" t="s">
        <v>468</v>
      </c>
      <c r="C278" s="10" t="s">
        <v>454</v>
      </c>
      <c r="D278" s="10" t="s">
        <v>455</v>
      </c>
      <c r="E278" s="10" t="s">
        <v>92</v>
      </c>
      <c r="F278" s="10" t="s">
        <v>136</v>
      </c>
      <c r="G278" s="11" t="n">
        <v>37</v>
      </c>
      <c r="H278" s="11"/>
      <c r="I278" s="11"/>
      <c r="J278" s="11"/>
      <c r="K278" s="10" t="str">
        <f aca="false">IF(ISNUMBER(J278),IF(J278&lt;10,"ультра-НЧ",IF(J278&lt;100,"НЧ",IF(J278&lt;=1000,"СЧ","ВЧ"))),IF(ISNUMBER(I278),IF(I278&lt;10,"ультра-НЧ",IF(I278&lt;100,"НЧ",IF(I278&lt;=1000,"СЧ","ВЧ"))),"нет данных"))</f>
        <v>нет данных</v>
      </c>
      <c r="L278" s="12" t="str">
        <f aca="false">IF(AND(ISNUMBER(G278),G278&gt;0,ISNUMBER(I278)),I278/G278,"")</f>
        <v/>
      </c>
      <c r="M278" s="10" t="s">
        <v>94</v>
      </c>
      <c r="N278" s="10" t="s">
        <v>468</v>
      </c>
      <c r="O278" s="10"/>
    </row>
    <row r="279" customFormat="false" ht="15" hidden="false" customHeight="false" outlineLevel="0" collapsed="false">
      <c r="A279" s="10" t="n">
        <v>278</v>
      </c>
      <c r="B279" s="10" t="s">
        <v>469</v>
      </c>
      <c r="C279" s="10" t="s">
        <v>470</v>
      </c>
      <c r="D279" s="10" t="s">
        <v>471</v>
      </c>
      <c r="E279" s="10" t="s">
        <v>92</v>
      </c>
      <c r="F279" s="10" t="s">
        <v>93</v>
      </c>
      <c r="G279" s="11" t="n">
        <v>112</v>
      </c>
      <c r="H279" s="11" t="n">
        <v>1</v>
      </c>
      <c r="I279" s="11" t="n">
        <v>0</v>
      </c>
      <c r="J279" s="11" t="n">
        <v>0</v>
      </c>
      <c r="K279" s="10" t="str">
        <f aca="false">IF(ISNUMBER(J279),IF(J279&lt;10,"ультра-НЧ",IF(J279&lt;100,"НЧ",IF(J279&lt;=1000,"СЧ","ВЧ"))),IF(ISNUMBER(I279),IF(I279&lt;10,"ультра-НЧ",IF(I279&lt;100,"НЧ",IF(I279&lt;=1000,"СЧ","ВЧ"))),"нет данных"))</f>
        <v>ультра-НЧ</v>
      </c>
      <c r="L279" s="12" t="n">
        <f aca="false">IF(AND(ISNUMBER(G279),G279&gt;0,ISNUMBER(I279)),I279/G279,"")</f>
        <v>0</v>
      </c>
      <c r="M279" s="10" t="s">
        <v>94</v>
      </c>
      <c r="N279" s="10" t="s">
        <v>472</v>
      </c>
      <c r="O279" s="10"/>
    </row>
    <row r="280" customFormat="false" ht="15" hidden="false" customHeight="false" outlineLevel="0" collapsed="false">
      <c r="A280" s="10" t="n">
        <v>279</v>
      </c>
      <c r="B280" s="10" t="s">
        <v>473</v>
      </c>
      <c r="C280" s="10" t="s">
        <v>470</v>
      </c>
      <c r="D280" s="10" t="s">
        <v>471</v>
      </c>
      <c r="E280" s="10" t="s">
        <v>92</v>
      </c>
      <c r="F280" s="10" t="s">
        <v>93</v>
      </c>
      <c r="G280" s="11" t="n">
        <v>89</v>
      </c>
      <c r="H280" s="11" t="n">
        <v>0</v>
      </c>
      <c r="I280" s="11" t="n">
        <v>0</v>
      </c>
      <c r="J280" s="11" t="n">
        <v>0</v>
      </c>
      <c r="K280" s="10" t="str">
        <f aca="false">IF(ISNUMBER(J280),IF(J280&lt;10,"ультра-НЧ",IF(J280&lt;100,"НЧ",IF(J280&lt;=1000,"СЧ","ВЧ"))),IF(ISNUMBER(I280),IF(I280&lt;10,"ультра-НЧ",IF(I280&lt;100,"НЧ",IF(I280&lt;=1000,"СЧ","ВЧ"))),"нет данных"))</f>
        <v>ультра-НЧ</v>
      </c>
      <c r="L280" s="12" t="n">
        <f aca="false">IF(AND(ISNUMBER(G280),G280&gt;0,ISNUMBER(I280)),I280/G280,"")</f>
        <v>0</v>
      </c>
      <c r="M280" s="10" t="s">
        <v>94</v>
      </c>
      <c r="N280" s="10" t="s">
        <v>474</v>
      </c>
      <c r="O280" s="10"/>
    </row>
    <row r="281" customFormat="false" ht="15" hidden="false" customHeight="false" outlineLevel="0" collapsed="false">
      <c r="A281" s="10" t="n">
        <v>280</v>
      </c>
      <c r="B281" s="10" t="s">
        <v>475</v>
      </c>
      <c r="C281" s="10" t="s">
        <v>470</v>
      </c>
      <c r="D281" s="10" t="s">
        <v>471</v>
      </c>
      <c r="E281" s="10" t="s">
        <v>92</v>
      </c>
      <c r="F281" s="10" t="s">
        <v>93</v>
      </c>
      <c r="G281" s="11" t="n">
        <v>9</v>
      </c>
      <c r="H281" s="11" t="n">
        <v>0</v>
      </c>
      <c r="I281" s="11" t="n">
        <v>0</v>
      </c>
      <c r="J281" s="11" t="n">
        <v>0</v>
      </c>
      <c r="K281" s="10" t="str">
        <f aca="false">IF(ISNUMBER(J281),IF(J281&lt;10,"ультра-НЧ",IF(J281&lt;100,"НЧ",IF(J281&lt;=1000,"СЧ","ВЧ"))),IF(ISNUMBER(I281),IF(I281&lt;10,"ультра-НЧ",IF(I281&lt;100,"НЧ",IF(I281&lt;=1000,"СЧ","ВЧ"))),"нет данных"))</f>
        <v>ультра-НЧ</v>
      </c>
      <c r="L281" s="12" t="n">
        <f aca="false">IF(AND(ISNUMBER(G281),G281&gt;0,ISNUMBER(I281)),I281/G281,"")</f>
        <v>0</v>
      </c>
      <c r="M281" s="10" t="s">
        <v>94</v>
      </c>
      <c r="N281" s="10" t="s">
        <v>475</v>
      </c>
      <c r="O281" s="10"/>
    </row>
    <row r="282" customFormat="false" ht="15" hidden="false" customHeight="false" outlineLevel="0" collapsed="false">
      <c r="A282" s="10" t="n">
        <v>281</v>
      </c>
      <c r="B282" s="10" t="s">
        <v>476</v>
      </c>
      <c r="C282" s="10" t="s">
        <v>470</v>
      </c>
      <c r="D282" s="10" t="s">
        <v>471</v>
      </c>
      <c r="E282" s="10" t="s">
        <v>92</v>
      </c>
      <c r="F282" s="10" t="s">
        <v>93</v>
      </c>
      <c r="G282" s="11" t="n">
        <v>126</v>
      </c>
      <c r="H282" s="11" t="n">
        <v>0</v>
      </c>
      <c r="I282" s="11" t="n">
        <v>1</v>
      </c>
      <c r="J282" s="11" t="n">
        <v>0</v>
      </c>
      <c r="K282" s="10" t="str">
        <f aca="false">IF(ISNUMBER(J282),IF(J282&lt;10,"ультра-НЧ",IF(J282&lt;100,"НЧ",IF(J282&lt;=1000,"СЧ","ВЧ"))),IF(ISNUMBER(I282),IF(I282&lt;10,"ультра-НЧ",IF(I282&lt;100,"НЧ",IF(I282&lt;=1000,"СЧ","ВЧ"))),"нет данных"))</f>
        <v>ультра-НЧ</v>
      </c>
      <c r="L282" s="12" t="n">
        <f aca="false">IF(AND(ISNUMBER(G282),G282&gt;0,ISNUMBER(I282)),I282/G282,"")</f>
        <v>0.00793650793650794</v>
      </c>
      <c r="M282" s="10" t="s">
        <v>94</v>
      </c>
      <c r="N282" s="10" t="s">
        <v>477</v>
      </c>
      <c r="O282" s="10"/>
    </row>
    <row r="283" customFormat="false" ht="15" hidden="false" customHeight="false" outlineLevel="0" collapsed="false">
      <c r="A283" s="10" t="n">
        <v>282</v>
      </c>
      <c r="B283" s="10" t="s">
        <v>478</v>
      </c>
      <c r="C283" s="10" t="s">
        <v>470</v>
      </c>
      <c r="D283" s="10" t="s">
        <v>471</v>
      </c>
      <c r="E283" s="10" t="s">
        <v>92</v>
      </c>
      <c r="F283" s="10" t="s">
        <v>93</v>
      </c>
      <c r="G283" s="11" t="n">
        <v>1</v>
      </c>
      <c r="H283" s="11" t="n">
        <v>0</v>
      </c>
      <c r="I283" s="11" t="n">
        <v>0</v>
      </c>
      <c r="J283" s="11" t="n">
        <v>0</v>
      </c>
      <c r="K283" s="10" t="str">
        <f aca="false">IF(ISNUMBER(J283),IF(J283&lt;10,"ультра-НЧ",IF(J283&lt;100,"НЧ",IF(J283&lt;=1000,"СЧ","ВЧ"))),IF(ISNUMBER(I283),IF(I283&lt;10,"ультра-НЧ",IF(I283&lt;100,"НЧ",IF(I283&lt;=1000,"СЧ","ВЧ"))),"нет данных"))</f>
        <v>ультра-НЧ</v>
      </c>
      <c r="L283" s="12" t="n">
        <f aca="false">IF(AND(ISNUMBER(G283),G283&gt;0,ISNUMBER(I283)),I283/G283,"")</f>
        <v>0</v>
      </c>
      <c r="M283" s="10" t="s">
        <v>94</v>
      </c>
      <c r="N283" s="10" t="s">
        <v>479</v>
      </c>
      <c r="O283" s="10"/>
    </row>
    <row r="284" customFormat="false" ht="15" hidden="false" customHeight="false" outlineLevel="0" collapsed="false">
      <c r="A284" s="10" t="n">
        <v>283</v>
      </c>
      <c r="B284" s="10" t="s">
        <v>480</v>
      </c>
      <c r="C284" s="10" t="s">
        <v>470</v>
      </c>
      <c r="D284" s="10" t="s">
        <v>471</v>
      </c>
      <c r="E284" s="10" t="s">
        <v>92</v>
      </c>
      <c r="F284" s="10" t="s">
        <v>93</v>
      </c>
      <c r="G284" s="11"/>
      <c r="H284" s="11"/>
      <c r="I284" s="11"/>
      <c r="J284" s="11"/>
      <c r="K284" s="10" t="str">
        <f aca="false">IF(ISNUMBER(J284),IF(J284&lt;10,"ультра-НЧ",IF(J284&lt;100,"НЧ",IF(J284&lt;=1000,"СЧ","ВЧ"))),IF(ISNUMBER(I284),IF(I284&lt;10,"ультра-НЧ",IF(I284&lt;100,"НЧ",IF(I284&lt;=1000,"СЧ","ВЧ"))),"нет данных"))</f>
        <v>нет данных</v>
      </c>
      <c r="L284" s="12" t="str">
        <f aca="false">IF(AND(ISNUMBER(G284),G284&gt;0,ISNUMBER(I284)),I284/G284,"")</f>
        <v/>
      </c>
      <c r="M284" s="10" t="s">
        <v>391</v>
      </c>
      <c r="N284" s="10" t="s">
        <v>480</v>
      </c>
      <c r="O284" s="10"/>
    </row>
    <row r="285" customFormat="false" ht="15" hidden="false" customHeight="false" outlineLevel="0" collapsed="false">
      <c r="A285" s="10" t="n">
        <v>284</v>
      </c>
      <c r="B285" s="10" t="s">
        <v>481</v>
      </c>
      <c r="C285" s="10" t="s">
        <v>470</v>
      </c>
      <c r="D285" s="10" t="s">
        <v>471</v>
      </c>
      <c r="E285" s="10" t="s">
        <v>92</v>
      </c>
      <c r="F285" s="10" t="s">
        <v>136</v>
      </c>
      <c r="G285" s="11" t="n">
        <v>29</v>
      </c>
      <c r="H285" s="11"/>
      <c r="I285" s="11"/>
      <c r="J285" s="11"/>
      <c r="K285" s="10" t="str">
        <f aca="false">IF(ISNUMBER(J285),IF(J285&lt;10,"ультра-НЧ",IF(J285&lt;100,"НЧ",IF(J285&lt;=1000,"СЧ","ВЧ"))),IF(ISNUMBER(I285),IF(I285&lt;10,"ультра-НЧ",IF(I285&lt;100,"НЧ",IF(I285&lt;=1000,"СЧ","ВЧ"))),"нет данных"))</f>
        <v>нет данных</v>
      </c>
      <c r="L285" s="12" t="str">
        <f aca="false">IF(AND(ISNUMBER(G285),G285&gt;0,ISNUMBER(I285)),I285/G285,"")</f>
        <v/>
      </c>
      <c r="M285" s="10" t="s">
        <v>94</v>
      </c>
      <c r="N285" s="10" t="s">
        <v>482</v>
      </c>
      <c r="O285" s="10"/>
    </row>
    <row r="286" customFormat="false" ht="15" hidden="false" customHeight="false" outlineLevel="0" collapsed="false">
      <c r="A286" s="10" t="n">
        <v>285</v>
      </c>
      <c r="B286" s="10" t="s">
        <v>483</v>
      </c>
      <c r="C286" s="10" t="s">
        <v>470</v>
      </c>
      <c r="D286" s="10" t="s">
        <v>471</v>
      </c>
      <c r="E286" s="10" t="s">
        <v>92</v>
      </c>
      <c r="F286" s="10" t="s">
        <v>136</v>
      </c>
      <c r="G286" s="11" t="n">
        <v>26</v>
      </c>
      <c r="H286" s="11"/>
      <c r="I286" s="11"/>
      <c r="J286" s="11"/>
      <c r="K286" s="10" t="str">
        <f aca="false">IF(ISNUMBER(J286),IF(J286&lt;10,"ультра-НЧ",IF(J286&lt;100,"НЧ",IF(J286&lt;=1000,"СЧ","ВЧ"))),IF(ISNUMBER(I286),IF(I286&lt;10,"ультра-НЧ",IF(I286&lt;100,"НЧ",IF(I286&lt;=1000,"СЧ","ВЧ"))),"нет данных"))</f>
        <v>нет данных</v>
      </c>
      <c r="L286" s="12" t="str">
        <f aca="false">IF(AND(ISNUMBER(G286),G286&gt;0,ISNUMBER(I286)),I286/G286,"")</f>
        <v/>
      </c>
      <c r="M286" s="10" t="s">
        <v>94</v>
      </c>
      <c r="N286" s="10" t="s">
        <v>484</v>
      </c>
      <c r="O286" s="10"/>
    </row>
    <row r="287" customFormat="false" ht="15" hidden="false" customHeight="false" outlineLevel="0" collapsed="false">
      <c r="A287" s="10" t="n">
        <v>286</v>
      </c>
      <c r="B287" s="10" t="s">
        <v>485</v>
      </c>
      <c r="C287" s="10" t="s">
        <v>486</v>
      </c>
      <c r="D287" s="10" t="s">
        <v>487</v>
      </c>
      <c r="E287" s="10" t="s">
        <v>92</v>
      </c>
      <c r="F287" s="10" t="s">
        <v>93</v>
      </c>
      <c r="G287" s="11" t="n">
        <v>39</v>
      </c>
      <c r="H287" s="11" t="n">
        <v>7</v>
      </c>
      <c r="I287" s="11" t="n">
        <v>0</v>
      </c>
      <c r="J287" s="11" t="n">
        <v>0</v>
      </c>
      <c r="K287" s="10" t="str">
        <f aca="false">IF(ISNUMBER(J287),IF(J287&lt;10,"ультра-НЧ",IF(J287&lt;100,"НЧ",IF(J287&lt;=1000,"СЧ","ВЧ"))),IF(ISNUMBER(I287),IF(I287&lt;10,"ультра-НЧ",IF(I287&lt;100,"НЧ",IF(I287&lt;=1000,"СЧ","ВЧ"))),"нет данных"))</f>
        <v>ультра-НЧ</v>
      </c>
      <c r="L287" s="12" t="n">
        <f aca="false">IF(AND(ISNUMBER(G287),G287&gt;0,ISNUMBER(I287)),I287/G287,"")</f>
        <v>0</v>
      </c>
      <c r="M287" s="10" t="s">
        <v>94</v>
      </c>
      <c r="N287" s="10" t="s">
        <v>485</v>
      </c>
      <c r="O287" s="10"/>
    </row>
    <row r="288" customFormat="false" ht="15" hidden="false" customHeight="false" outlineLevel="0" collapsed="false">
      <c r="A288" s="10" t="n">
        <v>287</v>
      </c>
      <c r="B288" s="10" t="s">
        <v>488</v>
      </c>
      <c r="C288" s="10" t="s">
        <v>486</v>
      </c>
      <c r="D288" s="10" t="s">
        <v>487</v>
      </c>
      <c r="E288" s="10" t="s">
        <v>92</v>
      </c>
      <c r="F288" s="10" t="s">
        <v>93</v>
      </c>
      <c r="G288" s="11" t="n">
        <v>35</v>
      </c>
      <c r="H288" s="11" t="n">
        <v>3</v>
      </c>
      <c r="I288" s="11" t="n">
        <v>0</v>
      </c>
      <c r="J288" s="11" t="n">
        <v>0</v>
      </c>
      <c r="K288" s="10" t="str">
        <f aca="false">IF(ISNUMBER(J288),IF(J288&lt;10,"ультра-НЧ",IF(J288&lt;100,"НЧ",IF(J288&lt;=1000,"СЧ","ВЧ"))),IF(ISNUMBER(I288),IF(I288&lt;10,"ультра-НЧ",IF(I288&lt;100,"НЧ",IF(I288&lt;=1000,"СЧ","ВЧ"))),"нет данных"))</f>
        <v>ультра-НЧ</v>
      </c>
      <c r="L288" s="12" t="n">
        <f aca="false">IF(AND(ISNUMBER(G288),G288&gt;0,ISNUMBER(I288)),I288/G288,"")</f>
        <v>0</v>
      </c>
      <c r="M288" s="10" t="s">
        <v>105</v>
      </c>
      <c r="N288" s="10" t="s">
        <v>488</v>
      </c>
      <c r="O288" s="10" t="s">
        <v>107</v>
      </c>
    </row>
    <row r="289" customFormat="false" ht="15" hidden="false" customHeight="false" outlineLevel="0" collapsed="false">
      <c r="A289" s="10" t="n">
        <v>288</v>
      </c>
      <c r="B289" s="10" t="s">
        <v>489</v>
      </c>
      <c r="C289" s="10" t="s">
        <v>486</v>
      </c>
      <c r="D289" s="10" t="s">
        <v>487</v>
      </c>
      <c r="E289" s="10" t="s">
        <v>92</v>
      </c>
      <c r="F289" s="10" t="s">
        <v>93</v>
      </c>
      <c r="G289" s="11" t="n">
        <v>30</v>
      </c>
      <c r="H289" s="11" t="n">
        <v>21</v>
      </c>
      <c r="I289" s="11" t="n">
        <v>0</v>
      </c>
      <c r="J289" s="11" t="n">
        <v>0</v>
      </c>
      <c r="K289" s="10" t="str">
        <f aca="false">IF(ISNUMBER(J289),IF(J289&lt;10,"ультра-НЧ",IF(J289&lt;100,"НЧ",IF(J289&lt;=1000,"СЧ","ВЧ"))),IF(ISNUMBER(I289),IF(I289&lt;10,"ультра-НЧ",IF(I289&lt;100,"НЧ",IF(I289&lt;=1000,"СЧ","ВЧ"))),"нет данных"))</f>
        <v>ультра-НЧ</v>
      </c>
      <c r="L289" s="12" t="n">
        <f aca="false">IF(AND(ISNUMBER(G289),G289&gt;0,ISNUMBER(I289)),I289/G289,"")</f>
        <v>0</v>
      </c>
      <c r="M289" s="10" t="s">
        <v>490</v>
      </c>
      <c r="N289" s="10" t="s">
        <v>491</v>
      </c>
      <c r="O289" s="10" t="s">
        <v>492</v>
      </c>
    </row>
    <row r="290" customFormat="false" ht="15" hidden="false" customHeight="false" outlineLevel="0" collapsed="false">
      <c r="A290" s="10" t="n">
        <v>289</v>
      </c>
      <c r="B290" s="10" t="s">
        <v>493</v>
      </c>
      <c r="C290" s="10" t="s">
        <v>486</v>
      </c>
      <c r="D290" s="10" t="s">
        <v>487</v>
      </c>
      <c r="E290" s="10" t="s">
        <v>92</v>
      </c>
      <c r="F290" s="10" t="s">
        <v>93</v>
      </c>
      <c r="G290" s="11" t="n">
        <v>14</v>
      </c>
      <c r="H290" s="11" t="n">
        <v>6</v>
      </c>
      <c r="I290" s="11" t="n">
        <v>0</v>
      </c>
      <c r="J290" s="11" t="n">
        <v>0</v>
      </c>
      <c r="K290" s="10" t="str">
        <f aca="false">IF(ISNUMBER(J290),IF(J290&lt;10,"ультра-НЧ",IF(J290&lt;100,"НЧ",IF(J290&lt;=1000,"СЧ","ВЧ"))),IF(ISNUMBER(I290),IF(I290&lt;10,"ультра-НЧ",IF(I290&lt;100,"НЧ",IF(I290&lt;=1000,"СЧ","ВЧ"))),"нет данных"))</f>
        <v>ультра-НЧ</v>
      </c>
      <c r="L290" s="12" t="n">
        <f aca="false">IF(AND(ISNUMBER(G290),G290&gt;0,ISNUMBER(I290)),I290/G290,"")</f>
        <v>0</v>
      </c>
      <c r="M290" s="10" t="s">
        <v>105</v>
      </c>
      <c r="N290" s="10" t="s">
        <v>494</v>
      </c>
      <c r="O290" s="10" t="s">
        <v>107</v>
      </c>
    </row>
    <row r="291" customFormat="false" ht="15" hidden="false" customHeight="false" outlineLevel="0" collapsed="false">
      <c r="A291" s="10" t="n">
        <v>290</v>
      </c>
      <c r="B291" s="10" t="s">
        <v>495</v>
      </c>
      <c r="C291" s="10" t="s">
        <v>486</v>
      </c>
      <c r="D291" s="10" t="s">
        <v>487</v>
      </c>
      <c r="E291" s="10" t="s">
        <v>92</v>
      </c>
      <c r="F291" s="10" t="s">
        <v>93</v>
      </c>
      <c r="G291" s="11" t="n">
        <v>10</v>
      </c>
      <c r="H291" s="11" t="n">
        <v>2</v>
      </c>
      <c r="I291" s="11" t="n">
        <v>0</v>
      </c>
      <c r="J291" s="11" t="n">
        <v>0</v>
      </c>
      <c r="K291" s="10" t="str">
        <f aca="false">IF(ISNUMBER(J291),IF(J291&lt;10,"ультра-НЧ",IF(J291&lt;100,"НЧ",IF(J291&lt;=1000,"СЧ","ВЧ"))),IF(ISNUMBER(I291),IF(I291&lt;10,"ультра-НЧ",IF(I291&lt;100,"НЧ",IF(I291&lt;=1000,"СЧ","ВЧ"))),"нет данных"))</f>
        <v>ультра-НЧ</v>
      </c>
      <c r="L291" s="12" t="n">
        <f aca="false">IF(AND(ISNUMBER(G291),G291&gt;0,ISNUMBER(I291)),I291/G291,"")</f>
        <v>0</v>
      </c>
      <c r="M291" s="10" t="s">
        <v>94</v>
      </c>
      <c r="N291" s="10" t="s">
        <v>495</v>
      </c>
      <c r="O291" s="10"/>
    </row>
    <row r="292" customFormat="false" ht="15" hidden="false" customHeight="false" outlineLevel="0" collapsed="false">
      <c r="A292" s="10" t="n">
        <v>291</v>
      </c>
      <c r="B292" s="10" t="s">
        <v>496</v>
      </c>
      <c r="C292" s="10" t="s">
        <v>486</v>
      </c>
      <c r="D292" s="10" t="s">
        <v>487</v>
      </c>
      <c r="E292" s="10" t="s">
        <v>92</v>
      </c>
      <c r="F292" s="10" t="s">
        <v>93</v>
      </c>
      <c r="G292" s="11" t="n">
        <v>414</v>
      </c>
      <c r="H292" s="11" t="n">
        <v>6</v>
      </c>
      <c r="I292" s="11" t="n">
        <v>10</v>
      </c>
      <c r="J292" s="11" t="n">
        <v>0</v>
      </c>
      <c r="K292" s="10" t="str">
        <f aca="false">IF(ISNUMBER(J292),IF(J292&lt;10,"ультра-НЧ",IF(J292&lt;100,"НЧ",IF(J292&lt;=1000,"СЧ","ВЧ"))),IF(ISNUMBER(I292),IF(I292&lt;10,"ультра-НЧ",IF(I292&lt;100,"НЧ",IF(I292&lt;=1000,"СЧ","ВЧ"))),"нет данных"))</f>
        <v>ультра-НЧ</v>
      </c>
      <c r="L292" s="12" t="n">
        <f aca="false">IF(AND(ISNUMBER(G292),G292&gt;0,ISNUMBER(I292)),I292/G292,"")</f>
        <v>0.0241545893719807</v>
      </c>
      <c r="M292" s="10" t="s">
        <v>94</v>
      </c>
      <c r="N292" s="10" t="s">
        <v>496</v>
      </c>
      <c r="O292" s="10"/>
    </row>
    <row r="293" customFormat="false" ht="15" hidden="false" customHeight="false" outlineLevel="0" collapsed="false">
      <c r="A293" s="10" t="n">
        <v>292</v>
      </c>
      <c r="B293" s="10" t="s">
        <v>497</v>
      </c>
      <c r="C293" s="10" t="s">
        <v>486</v>
      </c>
      <c r="D293" s="10" t="s">
        <v>487</v>
      </c>
      <c r="E293" s="10" t="s">
        <v>92</v>
      </c>
      <c r="F293" s="10" t="s">
        <v>93</v>
      </c>
      <c r="G293" s="11" t="n">
        <v>317</v>
      </c>
      <c r="H293" s="11" t="n">
        <v>4</v>
      </c>
      <c r="I293" s="11" t="n">
        <v>5</v>
      </c>
      <c r="J293" s="11" t="n">
        <v>0</v>
      </c>
      <c r="K293" s="10" t="str">
        <f aca="false">IF(ISNUMBER(J293),IF(J293&lt;10,"ультра-НЧ",IF(J293&lt;100,"НЧ",IF(J293&lt;=1000,"СЧ","ВЧ"))),IF(ISNUMBER(I293),IF(I293&lt;10,"ультра-НЧ",IF(I293&lt;100,"НЧ",IF(I293&lt;=1000,"СЧ","ВЧ"))),"нет данных"))</f>
        <v>ультра-НЧ</v>
      </c>
      <c r="L293" s="12" t="n">
        <f aca="false">IF(AND(ISNUMBER(G293),G293&gt;0,ISNUMBER(I293)),I293/G293,"")</f>
        <v>0.0157728706624606</v>
      </c>
      <c r="M293" s="10" t="s">
        <v>94</v>
      </c>
      <c r="N293" s="10" t="s">
        <v>497</v>
      </c>
      <c r="O293" s="10"/>
    </row>
    <row r="294" customFormat="false" ht="15" hidden="false" customHeight="false" outlineLevel="0" collapsed="false">
      <c r="A294" s="10" t="n">
        <v>293</v>
      </c>
      <c r="B294" s="10" t="s">
        <v>498</v>
      </c>
      <c r="C294" s="10" t="s">
        <v>486</v>
      </c>
      <c r="D294" s="10" t="s">
        <v>487</v>
      </c>
      <c r="E294" s="10" t="s">
        <v>92</v>
      </c>
      <c r="F294" s="10" t="s">
        <v>93</v>
      </c>
      <c r="G294" s="11" t="n">
        <v>73</v>
      </c>
      <c r="H294" s="11" t="n">
        <v>7</v>
      </c>
      <c r="I294" s="11" t="n">
        <v>5</v>
      </c>
      <c r="J294" s="11" t="n">
        <v>0</v>
      </c>
      <c r="K294" s="10" t="str">
        <f aca="false">IF(ISNUMBER(J294),IF(J294&lt;10,"ультра-НЧ",IF(J294&lt;100,"НЧ",IF(J294&lt;=1000,"СЧ","ВЧ"))),IF(ISNUMBER(I294),IF(I294&lt;10,"ультра-НЧ",IF(I294&lt;100,"НЧ",IF(I294&lt;=1000,"СЧ","ВЧ"))),"нет данных"))</f>
        <v>ультра-НЧ</v>
      </c>
      <c r="L294" s="12" t="n">
        <f aca="false">IF(AND(ISNUMBER(G294),G294&gt;0,ISNUMBER(I294)),I294/G294,"")</f>
        <v>0.0684931506849315</v>
      </c>
      <c r="M294" s="10" t="s">
        <v>490</v>
      </c>
      <c r="N294" s="10" t="s">
        <v>499</v>
      </c>
      <c r="O294" s="10" t="s">
        <v>492</v>
      </c>
    </row>
    <row r="295" customFormat="false" ht="15" hidden="false" customHeight="false" outlineLevel="0" collapsed="false">
      <c r="A295" s="10" t="n">
        <v>294</v>
      </c>
      <c r="B295" s="10" t="s">
        <v>500</v>
      </c>
      <c r="C295" s="10" t="s">
        <v>486</v>
      </c>
      <c r="D295" s="10" t="s">
        <v>487</v>
      </c>
      <c r="E295" s="10" t="s">
        <v>92</v>
      </c>
      <c r="F295" s="10" t="s">
        <v>93</v>
      </c>
      <c r="G295" s="11" t="n">
        <v>3</v>
      </c>
      <c r="H295" s="11" t="n">
        <v>1</v>
      </c>
      <c r="I295" s="11" t="n">
        <v>0</v>
      </c>
      <c r="J295" s="11" t="n">
        <v>0</v>
      </c>
      <c r="K295" s="10" t="str">
        <f aca="false">IF(ISNUMBER(J295),IF(J295&lt;10,"ультра-НЧ",IF(J295&lt;100,"НЧ",IF(J295&lt;=1000,"СЧ","ВЧ"))),IF(ISNUMBER(I295),IF(I295&lt;10,"ультра-НЧ",IF(I295&lt;100,"НЧ",IF(I295&lt;=1000,"СЧ","ВЧ"))),"нет данных"))</f>
        <v>ультра-НЧ</v>
      </c>
      <c r="L295" s="12" t="n">
        <f aca="false">IF(AND(ISNUMBER(G295),G295&gt;0,ISNUMBER(I295)),I295/G295,"")</f>
        <v>0</v>
      </c>
      <c r="M295" s="10" t="s">
        <v>94</v>
      </c>
      <c r="N295" s="10" t="s">
        <v>500</v>
      </c>
      <c r="O295" s="10"/>
    </row>
    <row r="296" customFormat="false" ht="15" hidden="false" customHeight="false" outlineLevel="0" collapsed="false">
      <c r="A296" s="10" t="n">
        <v>295</v>
      </c>
      <c r="B296" s="10" t="s">
        <v>501</v>
      </c>
      <c r="C296" s="10" t="s">
        <v>486</v>
      </c>
      <c r="D296" s="10" t="s">
        <v>487</v>
      </c>
      <c r="E296" s="10" t="s">
        <v>92</v>
      </c>
      <c r="F296" s="10" t="s">
        <v>93</v>
      </c>
      <c r="G296" s="11" t="n">
        <v>643</v>
      </c>
      <c r="H296" s="11" t="n">
        <v>10</v>
      </c>
      <c r="I296" s="11" t="n">
        <v>3</v>
      </c>
      <c r="J296" s="11" t="n">
        <v>0</v>
      </c>
      <c r="K296" s="10" t="str">
        <f aca="false">IF(ISNUMBER(J296),IF(J296&lt;10,"ультра-НЧ",IF(J296&lt;100,"НЧ",IF(J296&lt;=1000,"СЧ","ВЧ"))),IF(ISNUMBER(I296),IF(I296&lt;10,"ультра-НЧ",IF(I296&lt;100,"НЧ",IF(I296&lt;=1000,"СЧ","ВЧ"))),"нет данных"))</f>
        <v>ультра-НЧ</v>
      </c>
      <c r="L296" s="12" t="n">
        <f aca="false">IF(AND(ISNUMBER(G296),G296&gt;0,ISNUMBER(I296)),I296/G296,"")</f>
        <v>0.00466562986003111</v>
      </c>
      <c r="M296" s="10" t="s">
        <v>105</v>
      </c>
      <c r="N296" s="10" t="s">
        <v>501</v>
      </c>
      <c r="O296" s="10" t="s">
        <v>107</v>
      </c>
    </row>
    <row r="297" customFormat="false" ht="15" hidden="false" customHeight="false" outlineLevel="0" collapsed="false">
      <c r="A297" s="10" t="n">
        <v>296</v>
      </c>
      <c r="B297" s="10" t="s">
        <v>502</v>
      </c>
      <c r="C297" s="10" t="s">
        <v>486</v>
      </c>
      <c r="D297" s="10" t="s">
        <v>487</v>
      </c>
      <c r="E297" s="10" t="s">
        <v>92</v>
      </c>
      <c r="F297" s="10" t="s">
        <v>93</v>
      </c>
      <c r="G297" s="11" t="n">
        <v>131</v>
      </c>
      <c r="H297" s="11" t="n">
        <v>30</v>
      </c>
      <c r="I297" s="11" t="n">
        <v>2</v>
      </c>
      <c r="J297" s="11" t="n">
        <v>0</v>
      </c>
      <c r="K297" s="10" t="str">
        <f aca="false">IF(ISNUMBER(J297),IF(J297&lt;10,"ультра-НЧ",IF(J297&lt;100,"НЧ",IF(J297&lt;=1000,"СЧ","ВЧ"))),IF(ISNUMBER(I297),IF(I297&lt;10,"ультра-НЧ",IF(I297&lt;100,"НЧ",IF(I297&lt;=1000,"СЧ","ВЧ"))),"нет данных"))</f>
        <v>ультра-НЧ</v>
      </c>
      <c r="L297" s="12" t="n">
        <f aca="false">IF(AND(ISNUMBER(G297),G297&gt;0,ISNUMBER(I297)),I297/G297,"")</f>
        <v>0.0152671755725191</v>
      </c>
      <c r="M297" s="10" t="s">
        <v>105</v>
      </c>
      <c r="N297" s="10" t="s">
        <v>503</v>
      </c>
      <c r="O297" s="10" t="s">
        <v>107</v>
      </c>
    </row>
    <row r="298" customFormat="false" ht="15" hidden="false" customHeight="false" outlineLevel="0" collapsed="false">
      <c r="A298" s="10" t="n">
        <v>297</v>
      </c>
      <c r="B298" s="10" t="s">
        <v>504</v>
      </c>
      <c r="C298" s="10" t="s">
        <v>486</v>
      </c>
      <c r="D298" s="10" t="s">
        <v>487</v>
      </c>
      <c r="E298" s="10" t="s">
        <v>92</v>
      </c>
      <c r="F298" s="10" t="s">
        <v>93</v>
      </c>
      <c r="G298" s="11" t="n">
        <v>243</v>
      </c>
      <c r="H298" s="11" t="n">
        <v>8</v>
      </c>
      <c r="I298" s="11" t="n">
        <v>2</v>
      </c>
      <c r="J298" s="11" t="n">
        <v>0</v>
      </c>
      <c r="K298" s="10" t="str">
        <f aca="false">IF(ISNUMBER(J298),IF(J298&lt;10,"ультра-НЧ",IF(J298&lt;100,"НЧ",IF(J298&lt;=1000,"СЧ","ВЧ"))),IF(ISNUMBER(I298),IF(I298&lt;10,"ультра-НЧ",IF(I298&lt;100,"НЧ",IF(I298&lt;=1000,"СЧ","ВЧ"))),"нет данных"))</f>
        <v>ультра-НЧ</v>
      </c>
      <c r="L298" s="12" t="n">
        <f aca="false">IF(AND(ISNUMBER(G298),G298&gt;0,ISNUMBER(I298)),I298/G298,"")</f>
        <v>0.00823045267489712</v>
      </c>
      <c r="M298" s="10" t="s">
        <v>105</v>
      </c>
      <c r="N298" s="10" t="s">
        <v>504</v>
      </c>
      <c r="O298" s="10" t="s">
        <v>107</v>
      </c>
    </row>
    <row r="299" customFormat="false" ht="15" hidden="false" customHeight="false" outlineLevel="0" collapsed="false">
      <c r="A299" s="10" t="n">
        <v>298</v>
      </c>
      <c r="B299" s="10" t="s">
        <v>505</v>
      </c>
      <c r="C299" s="10" t="s">
        <v>486</v>
      </c>
      <c r="D299" s="10" t="s">
        <v>487</v>
      </c>
      <c r="E299" s="10" t="s">
        <v>92</v>
      </c>
      <c r="F299" s="10" t="s">
        <v>93</v>
      </c>
      <c r="G299" s="11" t="n">
        <v>2</v>
      </c>
      <c r="H299" s="11" t="n">
        <v>1</v>
      </c>
      <c r="I299" s="11" t="n">
        <v>0</v>
      </c>
      <c r="J299" s="11" t="n">
        <v>0</v>
      </c>
      <c r="K299" s="10" t="str">
        <f aca="false">IF(ISNUMBER(J299),IF(J299&lt;10,"ультра-НЧ",IF(J299&lt;100,"НЧ",IF(J299&lt;=1000,"СЧ","ВЧ"))),IF(ISNUMBER(I299),IF(I299&lt;10,"ультра-НЧ",IF(I299&lt;100,"НЧ",IF(I299&lt;=1000,"СЧ","ВЧ"))),"нет данных"))</f>
        <v>ультра-НЧ</v>
      </c>
      <c r="L299" s="12" t="n">
        <f aca="false">IF(AND(ISNUMBER(G299),G299&gt;0,ISNUMBER(I299)),I299/G299,"")</f>
        <v>0</v>
      </c>
      <c r="M299" s="10" t="s">
        <v>94</v>
      </c>
      <c r="N299" s="10" t="s">
        <v>505</v>
      </c>
      <c r="O299" s="10"/>
    </row>
    <row r="300" customFormat="false" ht="15" hidden="false" customHeight="false" outlineLevel="0" collapsed="false">
      <c r="A300" s="10" t="n">
        <v>299</v>
      </c>
      <c r="B300" s="10" t="s">
        <v>506</v>
      </c>
      <c r="C300" s="10" t="s">
        <v>486</v>
      </c>
      <c r="D300" s="10" t="s">
        <v>487</v>
      </c>
      <c r="E300" s="10" t="s">
        <v>92</v>
      </c>
      <c r="F300" s="10" t="s">
        <v>93</v>
      </c>
      <c r="G300" s="11" t="n">
        <v>2</v>
      </c>
      <c r="H300" s="11" t="n">
        <v>0</v>
      </c>
      <c r="I300" s="11" t="n">
        <v>2</v>
      </c>
      <c r="J300" s="11" t="n">
        <v>0</v>
      </c>
      <c r="K300" s="10" t="str">
        <f aca="false">IF(ISNUMBER(J300),IF(J300&lt;10,"ультра-НЧ",IF(J300&lt;100,"НЧ",IF(J300&lt;=1000,"СЧ","ВЧ"))),IF(ISNUMBER(I300),IF(I300&lt;10,"ультра-НЧ",IF(I300&lt;100,"НЧ",IF(I300&lt;=1000,"СЧ","ВЧ"))),"нет данных"))</f>
        <v>ультра-НЧ</v>
      </c>
      <c r="L300" s="12" t="n">
        <f aca="false">IF(AND(ISNUMBER(G300),G300&gt;0,ISNUMBER(I300)),I300/G300,"")</f>
        <v>1</v>
      </c>
      <c r="M300" s="10" t="s">
        <v>105</v>
      </c>
      <c r="N300" s="10" t="s">
        <v>506</v>
      </c>
      <c r="O300" s="10" t="s">
        <v>107</v>
      </c>
    </row>
    <row r="301" customFormat="false" ht="15" hidden="false" customHeight="false" outlineLevel="0" collapsed="false">
      <c r="A301" s="10" t="n">
        <v>300</v>
      </c>
      <c r="B301" s="10" t="s">
        <v>507</v>
      </c>
      <c r="C301" s="10" t="s">
        <v>486</v>
      </c>
      <c r="D301" s="10" t="s">
        <v>487</v>
      </c>
      <c r="E301" s="10" t="s">
        <v>92</v>
      </c>
      <c r="F301" s="10" t="s">
        <v>93</v>
      </c>
      <c r="G301" s="11" t="n">
        <v>761</v>
      </c>
      <c r="H301" s="11" t="n">
        <v>70</v>
      </c>
      <c r="I301" s="11" t="n">
        <v>6</v>
      </c>
      <c r="J301" s="11" t="n">
        <v>1</v>
      </c>
      <c r="K301" s="10" t="str">
        <f aca="false">IF(ISNUMBER(J301),IF(J301&lt;10,"ультра-НЧ",IF(J301&lt;100,"НЧ",IF(J301&lt;=1000,"СЧ","ВЧ"))),IF(ISNUMBER(I301),IF(I301&lt;10,"ультра-НЧ",IF(I301&lt;100,"НЧ",IF(I301&lt;=1000,"СЧ","ВЧ"))),"нет данных"))</f>
        <v>ультра-НЧ</v>
      </c>
      <c r="L301" s="12" t="n">
        <f aca="false">IF(AND(ISNUMBER(G301),G301&gt;0,ISNUMBER(I301)),I301/G301,"")</f>
        <v>0.00788436268068331</v>
      </c>
      <c r="M301" s="10" t="s">
        <v>105</v>
      </c>
      <c r="N301" s="10" t="s">
        <v>507</v>
      </c>
      <c r="O301" s="10" t="s">
        <v>107</v>
      </c>
    </row>
    <row r="302" customFormat="false" ht="15" hidden="false" customHeight="false" outlineLevel="0" collapsed="false">
      <c r="A302" s="10" t="n">
        <v>301</v>
      </c>
      <c r="B302" s="10" t="s">
        <v>508</v>
      </c>
      <c r="C302" s="10" t="s">
        <v>486</v>
      </c>
      <c r="D302" s="10" t="s">
        <v>487</v>
      </c>
      <c r="E302" s="10" t="s">
        <v>92</v>
      </c>
      <c r="F302" s="10" t="s">
        <v>93</v>
      </c>
      <c r="G302" s="11"/>
      <c r="H302" s="11" t="n">
        <v>0</v>
      </c>
      <c r="I302" s="11" t="n">
        <v>0</v>
      </c>
      <c r="J302" s="11" t="n">
        <v>0</v>
      </c>
      <c r="K302" s="10" t="str">
        <f aca="false">IF(ISNUMBER(J302),IF(J302&lt;10,"ультра-НЧ",IF(J302&lt;100,"НЧ",IF(J302&lt;=1000,"СЧ","ВЧ"))),IF(ISNUMBER(I302),IF(I302&lt;10,"ультра-НЧ",IF(I302&lt;100,"НЧ",IF(I302&lt;=1000,"СЧ","ВЧ"))),"нет данных"))</f>
        <v>ультра-НЧ</v>
      </c>
      <c r="L302" s="12" t="str">
        <f aca="false">IF(AND(ISNUMBER(G302),G302&gt;0,ISNUMBER(I302)),I302/G302,"")</f>
        <v/>
      </c>
      <c r="M302" s="10" t="s">
        <v>94</v>
      </c>
      <c r="N302" s="10" t="s">
        <v>509</v>
      </c>
      <c r="O302" s="10"/>
    </row>
    <row r="303" customFormat="false" ht="15" hidden="false" customHeight="false" outlineLevel="0" collapsed="false">
      <c r="A303" s="10" t="n">
        <v>302</v>
      </c>
      <c r="B303" s="10" t="s">
        <v>510</v>
      </c>
      <c r="C303" s="10" t="s">
        <v>486</v>
      </c>
      <c r="D303" s="10" t="s">
        <v>487</v>
      </c>
      <c r="E303" s="10" t="s">
        <v>92</v>
      </c>
      <c r="F303" s="10" t="s">
        <v>136</v>
      </c>
      <c r="G303" s="11" t="n">
        <v>106</v>
      </c>
      <c r="H303" s="11"/>
      <c r="I303" s="11"/>
      <c r="J303" s="11"/>
      <c r="K303" s="10" t="str">
        <f aca="false">IF(ISNUMBER(J303),IF(J303&lt;10,"ультра-НЧ",IF(J303&lt;100,"НЧ",IF(J303&lt;=1000,"СЧ","ВЧ"))),IF(ISNUMBER(I303),IF(I303&lt;10,"ультра-НЧ",IF(I303&lt;100,"НЧ",IF(I303&lt;=1000,"СЧ","ВЧ"))),"нет данных"))</f>
        <v>нет данных</v>
      </c>
      <c r="L303" s="12" t="str">
        <f aca="false">IF(AND(ISNUMBER(G303),G303&gt;0,ISNUMBER(I303)),I303/G303,"")</f>
        <v/>
      </c>
      <c r="M303" s="10" t="s">
        <v>490</v>
      </c>
      <c r="N303" s="10" t="s">
        <v>511</v>
      </c>
      <c r="O303" s="10" t="s">
        <v>492</v>
      </c>
    </row>
    <row r="304" customFormat="false" ht="15" hidden="false" customHeight="false" outlineLevel="0" collapsed="false">
      <c r="A304" s="10" t="n">
        <v>303</v>
      </c>
      <c r="B304" s="10" t="s">
        <v>512</v>
      </c>
      <c r="C304" s="10" t="s">
        <v>486</v>
      </c>
      <c r="D304" s="10" t="s">
        <v>487</v>
      </c>
      <c r="E304" s="10" t="s">
        <v>92</v>
      </c>
      <c r="F304" s="10" t="s">
        <v>136</v>
      </c>
      <c r="G304" s="11" t="n">
        <v>93</v>
      </c>
      <c r="H304" s="11"/>
      <c r="I304" s="11"/>
      <c r="J304" s="11"/>
      <c r="K304" s="10" t="str">
        <f aca="false">IF(ISNUMBER(J304),IF(J304&lt;10,"ультра-НЧ",IF(J304&lt;100,"НЧ",IF(J304&lt;=1000,"СЧ","ВЧ"))),IF(ISNUMBER(I304),IF(I304&lt;10,"ультра-НЧ",IF(I304&lt;100,"НЧ",IF(I304&lt;=1000,"СЧ","ВЧ"))),"нет данных"))</f>
        <v>нет данных</v>
      </c>
      <c r="L304" s="12" t="str">
        <f aca="false">IF(AND(ISNUMBER(G304),G304&gt;0,ISNUMBER(I304)),I304/G304,"")</f>
        <v/>
      </c>
      <c r="M304" s="10" t="s">
        <v>105</v>
      </c>
      <c r="N304" s="10" t="s">
        <v>513</v>
      </c>
      <c r="O304" s="10" t="s">
        <v>107</v>
      </c>
    </row>
    <row r="305" customFormat="false" ht="15" hidden="false" customHeight="false" outlineLevel="0" collapsed="false">
      <c r="A305" s="10" t="n">
        <v>304</v>
      </c>
      <c r="B305" s="10" t="s">
        <v>514</v>
      </c>
      <c r="C305" s="10" t="s">
        <v>486</v>
      </c>
      <c r="D305" s="10" t="s">
        <v>487</v>
      </c>
      <c r="E305" s="10" t="s">
        <v>92</v>
      </c>
      <c r="F305" s="10" t="s">
        <v>136</v>
      </c>
      <c r="G305" s="11" t="n">
        <v>48</v>
      </c>
      <c r="H305" s="11"/>
      <c r="I305" s="11"/>
      <c r="J305" s="11"/>
      <c r="K305" s="10" t="str">
        <f aca="false">IF(ISNUMBER(J305),IF(J305&lt;10,"ультра-НЧ",IF(J305&lt;100,"НЧ",IF(J305&lt;=1000,"СЧ","ВЧ"))),IF(ISNUMBER(I305),IF(I305&lt;10,"ультра-НЧ",IF(I305&lt;100,"НЧ",IF(I305&lt;=1000,"СЧ","ВЧ"))),"нет данных"))</f>
        <v>нет данных</v>
      </c>
      <c r="L305" s="12" t="str">
        <f aca="false">IF(AND(ISNUMBER(G305),G305&gt;0,ISNUMBER(I305)),I305/G305,"")</f>
        <v/>
      </c>
      <c r="M305" s="10" t="s">
        <v>105</v>
      </c>
      <c r="N305" s="10" t="s">
        <v>514</v>
      </c>
      <c r="O305" s="10" t="s">
        <v>107</v>
      </c>
    </row>
    <row r="306" customFormat="false" ht="15" hidden="false" customHeight="false" outlineLevel="0" collapsed="false">
      <c r="A306" s="10" t="n">
        <v>305</v>
      </c>
      <c r="B306" s="10" t="s">
        <v>515</v>
      </c>
      <c r="C306" s="10" t="s">
        <v>486</v>
      </c>
      <c r="D306" s="10" t="s">
        <v>487</v>
      </c>
      <c r="E306" s="10" t="s">
        <v>92</v>
      </c>
      <c r="F306" s="10" t="s">
        <v>136</v>
      </c>
      <c r="G306" s="11" t="n">
        <v>45</v>
      </c>
      <c r="H306" s="11"/>
      <c r="I306" s="11"/>
      <c r="J306" s="11"/>
      <c r="K306" s="10" t="str">
        <f aca="false">IF(ISNUMBER(J306),IF(J306&lt;10,"ультра-НЧ",IF(J306&lt;100,"НЧ",IF(J306&lt;=1000,"СЧ","ВЧ"))),IF(ISNUMBER(I306),IF(I306&lt;10,"ультра-НЧ",IF(I306&lt;100,"НЧ",IF(I306&lt;=1000,"СЧ","ВЧ"))),"нет данных"))</f>
        <v>нет данных</v>
      </c>
      <c r="L306" s="12" t="str">
        <f aca="false">IF(AND(ISNUMBER(G306),G306&gt;0,ISNUMBER(I306)),I306/G306,"")</f>
        <v/>
      </c>
      <c r="M306" s="10" t="s">
        <v>105</v>
      </c>
      <c r="N306" s="10" t="s">
        <v>515</v>
      </c>
      <c r="O306" s="10" t="s">
        <v>107</v>
      </c>
    </row>
    <row r="307" customFormat="false" ht="15" hidden="false" customHeight="false" outlineLevel="0" collapsed="false">
      <c r="A307" s="10" t="n">
        <v>306</v>
      </c>
      <c r="B307" s="10" t="s">
        <v>516</v>
      </c>
      <c r="C307" s="10" t="s">
        <v>486</v>
      </c>
      <c r="D307" s="10" t="s">
        <v>487</v>
      </c>
      <c r="E307" s="10" t="s">
        <v>92</v>
      </c>
      <c r="F307" s="10" t="s">
        <v>136</v>
      </c>
      <c r="G307" s="11" t="n">
        <v>37</v>
      </c>
      <c r="H307" s="11"/>
      <c r="I307" s="11"/>
      <c r="J307" s="11"/>
      <c r="K307" s="10" t="str">
        <f aca="false">IF(ISNUMBER(J307),IF(J307&lt;10,"ультра-НЧ",IF(J307&lt;100,"НЧ",IF(J307&lt;=1000,"СЧ","ВЧ"))),IF(ISNUMBER(I307),IF(I307&lt;10,"ультра-НЧ",IF(I307&lt;100,"НЧ",IF(I307&lt;=1000,"СЧ","ВЧ"))),"нет данных"))</f>
        <v>нет данных</v>
      </c>
      <c r="L307" s="12" t="str">
        <f aca="false">IF(AND(ISNUMBER(G307),G307&gt;0,ISNUMBER(I307)),I307/G307,"")</f>
        <v/>
      </c>
      <c r="M307" s="10" t="s">
        <v>105</v>
      </c>
      <c r="N307" s="10" t="s">
        <v>516</v>
      </c>
      <c r="O307" s="10" t="s">
        <v>107</v>
      </c>
    </row>
    <row r="308" customFormat="false" ht="15" hidden="false" customHeight="false" outlineLevel="0" collapsed="false">
      <c r="A308" s="10" t="n">
        <v>307</v>
      </c>
      <c r="B308" s="10" t="s">
        <v>517</v>
      </c>
      <c r="C308" s="10" t="s">
        <v>486</v>
      </c>
      <c r="D308" s="10" t="s">
        <v>487</v>
      </c>
      <c r="E308" s="10" t="s">
        <v>92</v>
      </c>
      <c r="F308" s="10" t="s">
        <v>136</v>
      </c>
      <c r="G308" s="11" t="n">
        <v>22</v>
      </c>
      <c r="H308" s="11"/>
      <c r="I308" s="11"/>
      <c r="J308" s="11"/>
      <c r="K308" s="10" t="str">
        <f aca="false">IF(ISNUMBER(J308),IF(J308&lt;10,"ультра-НЧ",IF(J308&lt;100,"НЧ",IF(J308&lt;=1000,"СЧ","ВЧ"))),IF(ISNUMBER(I308),IF(I308&lt;10,"ультра-НЧ",IF(I308&lt;100,"НЧ",IF(I308&lt;=1000,"СЧ","ВЧ"))),"нет данных"))</f>
        <v>нет данных</v>
      </c>
      <c r="L308" s="12" t="str">
        <f aca="false">IF(AND(ISNUMBER(G308),G308&gt;0,ISNUMBER(I308)),I308/G308,"")</f>
        <v/>
      </c>
      <c r="M308" s="10" t="s">
        <v>105</v>
      </c>
      <c r="N308" s="10" t="s">
        <v>518</v>
      </c>
      <c r="O308" s="10" t="s">
        <v>107</v>
      </c>
    </row>
    <row r="309" customFormat="false" ht="15" hidden="false" customHeight="false" outlineLevel="0" collapsed="false">
      <c r="A309" s="10" t="n">
        <v>308</v>
      </c>
      <c r="B309" s="10" t="s">
        <v>519</v>
      </c>
      <c r="C309" s="10" t="s">
        <v>486</v>
      </c>
      <c r="D309" s="10" t="s">
        <v>487</v>
      </c>
      <c r="E309" s="10" t="s">
        <v>92</v>
      </c>
      <c r="F309" s="10" t="s">
        <v>136</v>
      </c>
      <c r="G309" s="11" t="n">
        <v>20</v>
      </c>
      <c r="H309" s="11"/>
      <c r="I309" s="11"/>
      <c r="J309" s="11"/>
      <c r="K309" s="10" t="str">
        <f aca="false">IF(ISNUMBER(J309),IF(J309&lt;10,"ультра-НЧ",IF(J309&lt;100,"НЧ",IF(J309&lt;=1000,"СЧ","ВЧ"))),IF(ISNUMBER(I309),IF(I309&lt;10,"ультра-НЧ",IF(I309&lt;100,"НЧ",IF(I309&lt;=1000,"СЧ","ВЧ"))),"нет данных"))</f>
        <v>нет данных</v>
      </c>
      <c r="L309" s="12" t="str">
        <f aca="false">IF(AND(ISNUMBER(G309),G309&gt;0,ISNUMBER(I309)),I309/G309,"")</f>
        <v/>
      </c>
      <c r="M309" s="10" t="s">
        <v>94</v>
      </c>
      <c r="N309" s="10" t="s">
        <v>520</v>
      </c>
      <c r="O309" s="10"/>
    </row>
    <row r="310" customFormat="false" ht="15" hidden="false" customHeight="false" outlineLevel="0" collapsed="false">
      <c r="A310" s="10" t="n">
        <v>309</v>
      </c>
      <c r="B310" s="10" t="s">
        <v>521</v>
      </c>
      <c r="C310" s="10" t="s">
        <v>522</v>
      </c>
      <c r="D310" s="10" t="s">
        <v>523</v>
      </c>
      <c r="E310" s="10" t="s">
        <v>92</v>
      </c>
      <c r="F310" s="10" t="s">
        <v>93</v>
      </c>
      <c r="G310" s="11" t="n">
        <v>7283</v>
      </c>
      <c r="H310" s="11" t="n">
        <v>66</v>
      </c>
      <c r="I310" s="11" t="n">
        <v>85</v>
      </c>
      <c r="J310" s="11" t="n">
        <v>0</v>
      </c>
      <c r="K310" s="10" t="str">
        <f aca="false">IF(ISNUMBER(J310),IF(J310&lt;10,"ультра-НЧ",IF(J310&lt;100,"НЧ",IF(J310&lt;=1000,"СЧ","ВЧ"))),IF(ISNUMBER(I310),IF(I310&lt;10,"ультра-НЧ",IF(I310&lt;100,"НЧ",IF(I310&lt;=1000,"СЧ","ВЧ"))),"нет данных"))</f>
        <v>ультра-НЧ</v>
      </c>
      <c r="L310" s="12" t="n">
        <f aca="false">IF(AND(ISNUMBER(G310),G310&gt;0,ISNUMBER(I310)),I310/G310,"")</f>
        <v>0.0116710146917479</v>
      </c>
      <c r="M310" s="10" t="s">
        <v>105</v>
      </c>
      <c r="N310" s="10" t="s">
        <v>521</v>
      </c>
      <c r="O310" s="10" t="s">
        <v>107</v>
      </c>
    </row>
    <row r="311" customFormat="false" ht="15" hidden="false" customHeight="false" outlineLevel="0" collapsed="false">
      <c r="A311" s="10" t="n">
        <v>310</v>
      </c>
      <c r="B311" s="10" t="s">
        <v>524</v>
      </c>
      <c r="C311" s="10" t="s">
        <v>522</v>
      </c>
      <c r="D311" s="10" t="s">
        <v>523</v>
      </c>
      <c r="E311" s="10" t="s">
        <v>92</v>
      </c>
      <c r="F311" s="10" t="s">
        <v>93</v>
      </c>
      <c r="G311" s="11" t="n">
        <v>74</v>
      </c>
      <c r="H311" s="11" t="n">
        <v>2</v>
      </c>
      <c r="I311" s="11" t="n">
        <v>0</v>
      </c>
      <c r="J311" s="11" t="n">
        <v>0</v>
      </c>
      <c r="K311" s="10" t="str">
        <f aca="false">IF(ISNUMBER(J311),IF(J311&lt;10,"ультра-НЧ",IF(J311&lt;100,"НЧ",IF(J311&lt;=1000,"СЧ","ВЧ"))),IF(ISNUMBER(I311),IF(I311&lt;10,"ультра-НЧ",IF(I311&lt;100,"НЧ",IF(I311&lt;=1000,"СЧ","ВЧ"))),"нет данных"))</f>
        <v>ультра-НЧ</v>
      </c>
      <c r="L311" s="12" t="n">
        <f aca="false">IF(AND(ISNUMBER(G311),G311&gt;0,ISNUMBER(I311)),I311/G311,"")</f>
        <v>0</v>
      </c>
      <c r="M311" s="10" t="s">
        <v>490</v>
      </c>
      <c r="N311" s="10" t="s">
        <v>525</v>
      </c>
      <c r="O311" s="10" t="s">
        <v>492</v>
      </c>
    </row>
    <row r="312" customFormat="false" ht="15" hidden="false" customHeight="false" outlineLevel="0" collapsed="false">
      <c r="A312" s="10" t="n">
        <v>311</v>
      </c>
      <c r="B312" s="10" t="s">
        <v>526</v>
      </c>
      <c r="C312" s="10" t="s">
        <v>522</v>
      </c>
      <c r="D312" s="10" t="s">
        <v>523</v>
      </c>
      <c r="E312" s="10" t="s">
        <v>92</v>
      </c>
      <c r="F312" s="10" t="s">
        <v>93</v>
      </c>
      <c r="G312" s="11" t="n">
        <v>3229</v>
      </c>
      <c r="H312" s="11" t="n">
        <v>42</v>
      </c>
      <c r="I312" s="11" t="n">
        <v>71</v>
      </c>
      <c r="J312" s="11" t="n">
        <v>0</v>
      </c>
      <c r="K312" s="10" t="str">
        <f aca="false">IF(ISNUMBER(J312),IF(J312&lt;10,"ультра-НЧ",IF(J312&lt;100,"НЧ",IF(J312&lt;=1000,"СЧ","ВЧ"))),IF(ISNUMBER(I312),IF(I312&lt;10,"ультра-НЧ",IF(I312&lt;100,"НЧ",IF(I312&lt;=1000,"СЧ","ВЧ"))),"нет данных"))</f>
        <v>ультра-НЧ</v>
      </c>
      <c r="L312" s="12" t="n">
        <f aca="false">IF(AND(ISNUMBER(G312),G312&gt;0,ISNUMBER(I312)),I312/G312,"")</f>
        <v>0.0219882316506658</v>
      </c>
      <c r="M312" s="10" t="s">
        <v>105</v>
      </c>
      <c r="N312" s="10" t="s">
        <v>526</v>
      </c>
      <c r="O312" s="10" t="s">
        <v>107</v>
      </c>
    </row>
    <row r="313" customFormat="false" ht="15" hidden="false" customHeight="false" outlineLevel="0" collapsed="false">
      <c r="A313" s="10" t="n">
        <v>312</v>
      </c>
      <c r="B313" s="10" t="s">
        <v>527</v>
      </c>
      <c r="C313" s="10" t="s">
        <v>522</v>
      </c>
      <c r="D313" s="10" t="s">
        <v>523</v>
      </c>
      <c r="E313" s="10" t="s">
        <v>92</v>
      </c>
      <c r="F313" s="10" t="s">
        <v>93</v>
      </c>
      <c r="G313" s="11" t="n">
        <v>66</v>
      </c>
      <c r="H313" s="11" t="n">
        <v>6</v>
      </c>
      <c r="I313" s="11" t="n">
        <v>0</v>
      </c>
      <c r="J313" s="11" t="n">
        <v>0</v>
      </c>
      <c r="K313" s="10" t="str">
        <f aca="false">IF(ISNUMBER(J313),IF(J313&lt;10,"ультра-НЧ",IF(J313&lt;100,"НЧ",IF(J313&lt;=1000,"СЧ","ВЧ"))),IF(ISNUMBER(I313),IF(I313&lt;10,"ультра-НЧ",IF(I313&lt;100,"НЧ",IF(I313&lt;=1000,"СЧ","ВЧ"))),"нет данных"))</f>
        <v>ультра-НЧ</v>
      </c>
      <c r="L313" s="12" t="n">
        <f aca="false">IF(AND(ISNUMBER(G313),G313&gt;0,ISNUMBER(I313)),I313/G313,"")</f>
        <v>0</v>
      </c>
      <c r="M313" s="10" t="s">
        <v>490</v>
      </c>
      <c r="N313" s="10" t="s">
        <v>528</v>
      </c>
      <c r="O313" s="10" t="s">
        <v>492</v>
      </c>
    </row>
    <row r="314" customFormat="false" ht="15" hidden="false" customHeight="false" outlineLevel="0" collapsed="false">
      <c r="A314" s="10" t="n">
        <v>313</v>
      </c>
      <c r="B314" s="10" t="s">
        <v>529</v>
      </c>
      <c r="C314" s="10" t="s">
        <v>522</v>
      </c>
      <c r="D314" s="10" t="s">
        <v>523</v>
      </c>
      <c r="E314" s="10" t="s">
        <v>92</v>
      </c>
      <c r="F314" s="10" t="s">
        <v>93</v>
      </c>
      <c r="G314" s="11" t="n">
        <v>17</v>
      </c>
      <c r="H314" s="11" t="n">
        <v>2</v>
      </c>
      <c r="I314" s="11" t="n">
        <v>0</v>
      </c>
      <c r="J314" s="11" t="n">
        <v>0</v>
      </c>
      <c r="K314" s="10" t="str">
        <f aca="false">IF(ISNUMBER(J314),IF(J314&lt;10,"ультра-НЧ",IF(J314&lt;100,"НЧ",IF(J314&lt;=1000,"СЧ","ВЧ"))),IF(ISNUMBER(I314),IF(I314&lt;10,"ультра-НЧ",IF(I314&lt;100,"НЧ",IF(I314&lt;=1000,"СЧ","ВЧ"))),"нет данных"))</f>
        <v>ультра-НЧ</v>
      </c>
      <c r="L314" s="12" t="n">
        <f aca="false">IF(AND(ISNUMBER(G314),G314&gt;0,ISNUMBER(I314)),I314/G314,"")</f>
        <v>0</v>
      </c>
      <c r="M314" s="10" t="s">
        <v>94</v>
      </c>
      <c r="N314" s="10" t="s">
        <v>529</v>
      </c>
      <c r="O314" s="10"/>
    </row>
    <row r="315" customFormat="false" ht="15" hidden="false" customHeight="false" outlineLevel="0" collapsed="false">
      <c r="A315" s="10" t="n">
        <v>314</v>
      </c>
      <c r="B315" s="10" t="s">
        <v>530</v>
      </c>
      <c r="C315" s="10" t="s">
        <v>522</v>
      </c>
      <c r="D315" s="10" t="s">
        <v>523</v>
      </c>
      <c r="E315" s="10" t="s">
        <v>92</v>
      </c>
      <c r="F315" s="10" t="s">
        <v>93</v>
      </c>
      <c r="G315" s="11" t="n">
        <v>16</v>
      </c>
      <c r="H315" s="11" t="n">
        <v>1</v>
      </c>
      <c r="I315" s="11" t="n">
        <v>0</v>
      </c>
      <c r="J315" s="11" t="n">
        <v>0</v>
      </c>
      <c r="K315" s="10" t="str">
        <f aca="false">IF(ISNUMBER(J315),IF(J315&lt;10,"ультра-НЧ",IF(J315&lt;100,"НЧ",IF(J315&lt;=1000,"СЧ","ВЧ"))),IF(ISNUMBER(I315),IF(I315&lt;10,"ультра-НЧ",IF(I315&lt;100,"НЧ",IF(I315&lt;=1000,"СЧ","ВЧ"))),"нет данных"))</f>
        <v>ультра-НЧ</v>
      </c>
      <c r="L315" s="12" t="n">
        <f aca="false">IF(AND(ISNUMBER(G315),G315&gt;0,ISNUMBER(I315)),I315/G315,"")</f>
        <v>0</v>
      </c>
      <c r="M315" s="10" t="s">
        <v>94</v>
      </c>
      <c r="N315" s="10" t="s">
        <v>530</v>
      </c>
      <c r="O315" s="10"/>
    </row>
    <row r="316" customFormat="false" ht="15" hidden="false" customHeight="false" outlineLevel="0" collapsed="false">
      <c r="A316" s="10" t="n">
        <v>315</v>
      </c>
      <c r="B316" s="10" t="s">
        <v>531</v>
      </c>
      <c r="C316" s="10" t="s">
        <v>522</v>
      </c>
      <c r="D316" s="10" t="s">
        <v>523</v>
      </c>
      <c r="E316" s="10" t="s">
        <v>92</v>
      </c>
      <c r="F316" s="10" t="s">
        <v>93</v>
      </c>
      <c r="G316" s="11" t="n">
        <v>14</v>
      </c>
      <c r="H316" s="11" t="n">
        <v>8</v>
      </c>
      <c r="I316" s="11" t="n">
        <v>0</v>
      </c>
      <c r="J316" s="11" t="n">
        <v>0</v>
      </c>
      <c r="K316" s="10" t="str">
        <f aca="false">IF(ISNUMBER(J316),IF(J316&lt;10,"ультра-НЧ",IF(J316&lt;100,"НЧ",IF(J316&lt;=1000,"СЧ","ВЧ"))),IF(ISNUMBER(I316),IF(I316&lt;10,"ультра-НЧ",IF(I316&lt;100,"НЧ",IF(I316&lt;=1000,"СЧ","ВЧ"))),"нет данных"))</f>
        <v>ультра-НЧ</v>
      </c>
      <c r="L316" s="12" t="n">
        <f aca="false">IF(AND(ISNUMBER(G316),G316&gt;0,ISNUMBER(I316)),I316/G316,"")</f>
        <v>0</v>
      </c>
      <c r="M316" s="10" t="s">
        <v>94</v>
      </c>
      <c r="N316" s="10" t="s">
        <v>531</v>
      </c>
      <c r="O316" s="10"/>
    </row>
    <row r="317" customFormat="false" ht="15" hidden="false" customHeight="false" outlineLevel="0" collapsed="false">
      <c r="A317" s="10" t="n">
        <v>316</v>
      </c>
      <c r="B317" s="10" t="s">
        <v>532</v>
      </c>
      <c r="C317" s="10" t="s">
        <v>522</v>
      </c>
      <c r="D317" s="10" t="s">
        <v>523</v>
      </c>
      <c r="E317" s="10" t="s">
        <v>92</v>
      </c>
      <c r="F317" s="10" t="s">
        <v>93</v>
      </c>
      <c r="G317" s="11" t="n">
        <v>3</v>
      </c>
      <c r="H317" s="11" t="n">
        <v>0</v>
      </c>
      <c r="I317" s="11" t="n">
        <v>0</v>
      </c>
      <c r="J317" s="11" t="n">
        <v>0</v>
      </c>
      <c r="K317" s="10" t="str">
        <f aca="false">IF(ISNUMBER(J317),IF(J317&lt;10,"ультра-НЧ",IF(J317&lt;100,"НЧ",IF(J317&lt;=1000,"СЧ","ВЧ"))),IF(ISNUMBER(I317),IF(I317&lt;10,"ультра-НЧ",IF(I317&lt;100,"НЧ",IF(I317&lt;=1000,"СЧ","ВЧ"))),"нет данных"))</f>
        <v>ультра-НЧ</v>
      </c>
      <c r="L317" s="12" t="n">
        <f aca="false">IF(AND(ISNUMBER(G317),G317&gt;0,ISNUMBER(I317)),I317/G317,"")</f>
        <v>0</v>
      </c>
      <c r="M317" s="10" t="s">
        <v>490</v>
      </c>
      <c r="N317" s="10" t="s">
        <v>533</v>
      </c>
      <c r="O317" s="10" t="s">
        <v>492</v>
      </c>
    </row>
    <row r="318" customFormat="false" ht="15" hidden="false" customHeight="false" outlineLevel="0" collapsed="false">
      <c r="A318" s="10" t="n">
        <v>317</v>
      </c>
      <c r="B318" s="10" t="s">
        <v>534</v>
      </c>
      <c r="C318" s="10" t="s">
        <v>522</v>
      </c>
      <c r="D318" s="10" t="s">
        <v>523</v>
      </c>
      <c r="E318" s="10" t="s">
        <v>92</v>
      </c>
      <c r="F318" s="10" t="s">
        <v>93</v>
      </c>
      <c r="G318" s="11" t="n">
        <v>12793</v>
      </c>
      <c r="H318" s="11" t="n">
        <v>58</v>
      </c>
      <c r="I318" s="11" t="n">
        <v>178</v>
      </c>
      <c r="J318" s="11" t="n">
        <v>1</v>
      </c>
      <c r="K318" s="10" t="str">
        <f aca="false">IF(ISNUMBER(J318),IF(J318&lt;10,"ультра-НЧ",IF(J318&lt;100,"НЧ",IF(J318&lt;=1000,"СЧ","ВЧ"))),IF(ISNUMBER(I318),IF(I318&lt;10,"ультра-НЧ",IF(I318&lt;100,"НЧ",IF(I318&lt;=1000,"СЧ","ВЧ"))),"нет данных"))</f>
        <v>ультра-НЧ</v>
      </c>
      <c r="L318" s="12" t="n">
        <f aca="false">IF(AND(ISNUMBER(G318),G318&gt;0,ISNUMBER(I318)),I318/G318,"")</f>
        <v>0.0139138591417181</v>
      </c>
      <c r="M318" s="10" t="s">
        <v>105</v>
      </c>
      <c r="N318" s="10" t="s">
        <v>534</v>
      </c>
      <c r="O318" s="10" t="s">
        <v>107</v>
      </c>
    </row>
    <row r="319" customFormat="false" ht="15" hidden="false" customHeight="false" outlineLevel="0" collapsed="false">
      <c r="A319" s="10" t="n">
        <v>318</v>
      </c>
      <c r="B319" s="10" t="s">
        <v>535</v>
      </c>
      <c r="C319" s="10" t="s">
        <v>522</v>
      </c>
      <c r="D319" s="10" t="s">
        <v>523</v>
      </c>
      <c r="E319" s="10" t="s">
        <v>92</v>
      </c>
      <c r="F319" s="10" t="s">
        <v>93</v>
      </c>
      <c r="G319" s="11" t="n">
        <v>544</v>
      </c>
      <c r="H319" s="11" t="n">
        <v>41</v>
      </c>
      <c r="I319" s="11" t="n">
        <v>1</v>
      </c>
      <c r="J319" s="11" t="n">
        <v>1</v>
      </c>
      <c r="K319" s="10" t="str">
        <f aca="false">IF(ISNUMBER(J319),IF(J319&lt;10,"ультра-НЧ",IF(J319&lt;100,"НЧ",IF(J319&lt;=1000,"СЧ","ВЧ"))),IF(ISNUMBER(I319),IF(I319&lt;10,"ультра-НЧ",IF(I319&lt;100,"НЧ",IF(I319&lt;=1000,"СЧ","ВЧ"))),"нет данных"))</f>
        <v>ультра-НЧ</v>
      </c>
      <c r="L319" s="12" t="n">
        <f aca="false">IF(AND(ISNUMBER(G319),G319&gt;0,ISNUMBER(I319)),I319/G319,"")</f>
        <v>0.00183823529411765</v>
      </c>
      <c r="M319" s="10" t="s">
        <v>490</v>
      </c>
      <c r="N319" s="10" t="s">
        <v>536</v>
      </c>
      <c r="O319" s="10" t="s">
        <v>492</v>
      </c>
    </row>
    <row r="320" customFormat="false" ht="15" hidden="false" customHeight="false" outlineLevel="0" collapsed="false">
      <c r="A320" s="10" t="n">
        <v>319</v>
      </c>
      <c r="B320" s="10" t="s">
        <v>537</v>
      </c>
      <c r="C320" s="10" t="s">
        <v>522</v>
      </c>
      <c r="D320" s="10" t="s">
        <v>523</v>
      </c>
      <c r="E320" s="10" t="s">
        <v>92</v>
      </c>
      <c r="F320" s="10" t="s">
        <v>93</v>
      </c>
      <c r="G320" s="11"/>
      <c r="H320" s="11" t="n">
        <v>0</v>
      </c>
      <c r="I320" s="11" t="n">
        <v>0</v>
      </c>
      <c r="J320" s="11" t="n">
        <v>0</v>
      </c>
      <c r="K320" s="10" t="str">
        <f aca="false">IF(ISNUMBER(J320),IF(J320&lt;10,"ультра-НЧ",IF(J320&lt;100,"НЧ",IF(J320&lt;=1000,"СЧ","ВЧ"))),IF(ISNUMBER(I320),IF(I320&lt;10,"ультра-НЧ",IF(I320&lt;100,"НЧ",IF(I320&lt;=1000,"СЧ","ВЧ"))),"нет данных"))</f>
        <v>ультра-НЧ</v>
      </c>
      <c r="L320" s="12" t="str">
        <f aca="false">IF(AND(ISNUMBER(G320),G320&gt;0,ISNUMBER(I320)),I320/G320,"")</f>
        <v/>
      </c>
      <c r="M320" s="10" t="s">
        <v>94</v>
      </c>
      <c r="N320" s="10" t="s">
        <v>537</v>
      </c>
      <c r="O320" s="10"/>
    </row>
    <row r="321" customFormat="false" ht="15" hidden="false" customHeight="false" outlineLevel="0" collapsed="false">
      <c r="A321" s="10" t="n">
        <v>320</v>
      </c>
      <c r="B321" s="10" t="s">
        <v>538</v>
      </c>
      <c r="C321" s="10" t="s">
        <v>522</v>
      </c>
      <c r="D321" s="10" t="s">
        <v>523</v>
      </c>
      <c r="E321" s="10" t="s">
        <v>92</v>
      </c>
      <c r="F321" s="10" t="s">
        <v>123</v>
      </c>
      <c r="G321" s="11" t="n">
        <v>1490</v>
      </c>
      <c r="H321" s="11"/>
      <c r="I321" s="11"/>
      <c r="J321" s="11" t="n">
        <v>0</v>
      </c>
      <c r="K321" s="10" t="str">
        <f aca="false">IF(ISNUMBER(J321),IF(J321&lt;10,"ультра-НЧ",IF(J321&lt;100,"НЧ",IF(J321&lt;=1000,"СЧ","ВЧ"))),IF(ISNUMBER(I321),IF(I321&lt;10,"ультра-НЧ",IF(I321&lt;100,"НЧ",IF(I321&lt;=1000,"СЧ","ВЧ"))),"нет данных"))</f>
        <v>ультра-НЧ</v>
      </c>
      <c r="L321" s="12" t="str">
        <f aca="false">IF(AND(ISNUMBER(G321),G321&gt;0,ISNUMBER(I321)),I321/G321,"")</f>
        <v/>
      </c>
      <c r="M321" s="10" t="s">
        <v>105</v>
      </c>
      <c r="N321" s="10" t="s">
        <v>539</v>
      </c>
      <c r="O321" s="10" t="s">
        <v>107</v>
      </c>
    </row>
    <row r="322" customFormat="false" ht="15" hidden="false" customHeight="false" outlineLevel="0" collapsed="false">
      <c r="A322" s="10" t="n">
        <v>321</v>
      </c>
      <c r="B322" s="10" t="s">
        <v>540</v>
      </c>
      <c r="C322" s="10" t="s">
        <v>522</v>
      </c>
      <c r="D322" s="10" t="s">
        <v>523</v>
      </c>
      <c r="E322" s="10" t="s">
        <v>92</v>
      </c>
      <c r="F322" s="10" t="s">
        <v>123</v>
      </c>
      <c r="G322" s="11" t="n">
        <v>1246</v>
      </c>
      <c r="H322" s="11"/>
      <c r="I322" s="11"/>
      <c r="J322" s="11" t="n">
        <v>0</v>
      </c>
      <c r="K322" s="10" t="str">
        <f aca="false">IF(ISNUMBER(J322),IF(J322&lt;10,"ультра-НЧ",IF(J322&lt;100,"НЧ",IF(J322&lt;=1000,"СЧ","ВЧ"))),IF(ISNUMBER(I322),IF(I322&lt;10,"ультра-НЧ",IF(I322&lt;100,"НЧ",IF(I322&lt;=1000,"СЧ","ВЧ"))),"нет данных"))</f>
        <v>ультра-НЧ</v>
      </c>
      <c r="L322" s="12" t="str">
        <f aca="false">IF(AND(ISNUMBER(G322),G322&gt;0,ISNUMBER(I322)),I322/G322,"")</f>
        <v/>
      </c>
      <c r="M322" s="10" t="s">
        <v>105</v>
      </c>
      <c r="N322" s="10" t="s">
        <v>540</v>
      </c>
      <c r="O322" s="10" t="s">
        <v>107</v>
      </c>
    </row>
    <row r="323" customFormat="false" ht="15" hidden="false" customHeight="false" outlineLevel="0" collapsed="false">
      <c r="A323" s="10" t="n">
        <v>322</v>
      </c>
      <c r="B323" s="10" t="s">
        <v>541</v>
      </c>
      <c r="C323" s="10" t="s">
        <v>522</v>
      </c>
      <c r="D323" s="10" t="s">
        <v>523</v>
      </c>
      <c r="E323" s="10" t="s">
        <v>92</v>
      </c>
      <c r="F323" s="10" t="s">
        <v>123</v>
      </c>
      <c r="G323" s="11" t="n">
        <v>1093</v>
      </c>
      <c r="H323" s="11"/>
      <c r="I323" s="11"/>
      <c r="J323" s="11" t="n">
        <v>0</v>
      </c>
      <c r="K323" s="10" t="str">
        <f aca="false">IF(ISNUMBER(J323),IF(J323&lt;10,"ультра-НЧ",IF(J323&lt;100,"НЧ",IF(J323&lt;=1000,"СЧ","ВЧ"))),IF(ISNUMBER(I323),IF(I323&lt;10,"ультра-НЧ",IF(I323&lt;100,"НЧ",IF(I323&lt;=1000,"СЧ","ВЧ"))),"нет данных"))</f>
        <v>ультра-НЧ</v>
      </c>
      <c r="L323" s="12" t="str">
        <f aca="false">IF(AND(ISNUMBER(G323),G323&gt;0,ISNUMBER(I323)),I323/G323,"")</f>
        <v/>
      </c>
      <c r="M323" s="10" t="s">
        <v>105</v>
      </c>
      <c r="N323" s="10" t="s">
        <v>541</v>
      </c>
      <c r="O323" s="10" t="s">
        <v>107</v>
      </c>
    </row>
    <row r="324" customFormat="false" ht="15" hidden="false" customHeight="false" outlineLevel="0" collapsed="false">
      <c r="A324" s="10" t="n">
        <v>323</v>
      </c>
      <c r="B324" s="10" t="s">
        <v>542</v>
      </c>
      <c r="C324" s="10" t="s">
        <v>522</v>
      </c>
      <c r="D324" s="10" t="s">
        <v>523</v>
      </c>
      <c r="E324" s="10" t="s">
        <v>92</v>
      </c>
      <c r="F324" s="10" t="s">
        <v>123</v>
      </c>
      <c r="G324" s="11" t="n">
        <v>605</v>
      </c>
      <c r="H324" s="11"/>
      <c r="I324" s="11"/>
      <c r="J324" s="11" t="n">
        <v>0</v>
      </c>
      <c r="K324" s="10" t="str">
        <f aca="false">IF(ISNUMBER(J324),IF(J324&lt;10,"ультра-НЧ",IF(J324&lt;100,"НЧ",IF(J324&lt;=1000,"СЧ","ВЧ"))),IF(ISNUMBER(I324),IF(I324&lt;10,"ультра-НЧ",IF(I324&lt;100,"НЧ",IF(I324&lt;=1000,"СЧ","ВЧ"))),"нет данных"))</f>
        <v>ультра-НЧ</v>
      </c>
      <c r="L324" s="12" t="str">
        <f aca="false">IF(AND(ISNUMBER(G324),G324&gt;0,ISNUMBER(I324)),I324/G324,"")</f>
        <v/>
      </c>
      <c r="M324" s="10" t="s">
        <v>105</v>
      </c>
      <c r="N324" s="10" t="s">
        <v>542</v>
      </c>
      <c r="O324" s="10" t="s">
        <v>107</v>
      </c>
    </row>
    <row r="325" customFormat="false" ht="15" hidden="false" customHeight="false" outlineLevel="0" collapsed="false">
      <c r="A325" s="10" t="n">
        <v>324</v>
      </c>
      <c r="B325" s="10" t="s">
        <v>543</v>
      </c>
      <c r="C325" s="10" t="s">
        <v>522</v>
      </c>
      <c r="D325" s="10" t="s">
        <v>523</v>
      </c>
      <c r="E325" s="10" t="s">
        <v>92</v>
      </c>
      <c r="F325" s="10" t="s">
        <v>123</v>
      </c>
      <c r="G325" s="11" t="n">
        <v>589</v>
      </c>
      <c r="H325" s="11"/>
      <c r="I325" s="11"/>
      <c r="J325" s="11" t="n">
        <v>0</v>
      </c>
      <c r="K325" s="10" t="str">
        <f aca="false">IF(ISNUMBER(J325),IF(J325&lt;10,"ультра-НЧ",IF(J325&lt;100,"НЧ",IF(J325&lt;=1000,"СЧ","ВЧ"))),IF(ISNUMBER(I325),IF(I325&lt;10,"ультра-НЧ",IF(I325&lt;100,"НЧ",IF(I325&lt;=1000,"СЧ","ВЧ"))),"нет данных"))</f>
        <v>ультра-НЧ</v>
      </c>
      <c r="L325" s="12" t="str">
        <f aca="false">IF(AND(ISNUMBER(G325),G325&gt;0,ISNUMBER(I325)),I325/G325,"")</f>
        <v/>
      </c>
      <c r="M325" s="10" t="s">
        <v>105</v>
      </c>
      <c r="N325" s="10" t="s">
        <v>543</v>
      </c>
      <c r="O325" s="10" t="s">
        <v>107</v>
      </c>
    </row>
    <row r="326" customFormat="false" ht="15" hidden="false" customHeight="false" outlineLevel="0" collapsed="false">
      <c r="A326" s="10" t="n">
        <v>325</v>
      </c>
      <c r="B326" s="10" t="s">
        <v>544</v>
      </c>
      <c r="C326" s="10" t="s">
        <v>522</v>
      </c>
      <c r="D326" s="10" t="s">
        <v>523</v>
      </c>
      <c r="E326" s="10" t="s">
        <v>92</v>
      </c>
      <c r="F326" s="10" t="s">
        <v>123</v>
      </c>
      <c r="G326" s="11" t="n">
        <v>572</v>
      </c>
      <c r="H326" s="11"/>
      <c r="I326" s="11"/>
      <c r="J326" s="11" t="n">
        <v>0</v>
      </c>
      <c r="K326" s="10" t="str">
        <f aca="false">IF(ISNUMBER(J326),IF(J326&lt;10,"ультра-НЧ",IF(J326&lt;100,"НЧ",IF(J326&lt;=1000,"СЧ","ВЧ"))),IF(ISNUMBER(I326),IF(I326&lt;10,"ультра-НЧ",IF(I326&lt;100,"НЧ",IF(I326&lt;=1000,"СЧ","ВЧ"))),"нет данных"))</f>
        <v>ультра-НЧ</v>
      </c>
      <c r="L326" s="12" t="str">
        <f aca="false">IF(AND(ISNUMBER(G326),G326&gt;0,ISNUMBER(I326)),I326/G326,"")</f>
        <v/>
      </c>
      <c r="M326" s="10" t="s">
        <v>105</v>
      </c>
      <c r="N326" s="10" t="s">
        <v>545</v>
      </c>
      <c r="O326" s="10" t="s">
        <v>107</v>
      </c>
    </row>
    <row r="327" customFormat="false" ht="15" hidden="false" customHeight="false" outlineLevel="0" collapsed="false">
      <c r="A327" s="10" t="n">
        <v>326</v>
      </c>
      <c r="B327" s="10" t="s">
        <v>546</v>
      </c>
      <c r="C327" s="10" t="s">
        <v>522</v>
      </c>
      <c r="D327" s="10" t="s">
        <v>523</v>
      </c>
      <c r="E327" s="10" t="s">
        <v>92</v>
      </c>
      <c r="F327" s="10" t="s">
        <v>136</v>
      </c>
      <c r="G327" s="11" t="n">
        <v>555</v>
      </c>
      <c r="H327" s="11"/>
      <c r="I327" s="11"/>
      <c r="J327" s="11"/>
      <c r="K327" s="10" t="str">
        <f aca="false">IF(ISNUMBER(J327),IF(J327&lt;10,"ультра-НЧ",IF(J327&lt;100,"НЧ",IF(J327&lt;=1000,"СЧ","ВЧ"))),IF(ISNUMBER(I327),IF(I327&lt;10,"ультра-НЧ",IF(I327&lt;100,"НЧ",IF(I327&lt;=1000,"СЧ","ВЧ"))),"нет данных"))</f>
        <v>нет данных</v>
      </c>
      <c r="L327" s="12" t="str">
        <f aca="false">IF(AND(ISNUMBER(G327),G327&gt;0,ISNUMBER(I327)),I327/G327,"")</f>
        <v/>
      </c>
      <c r="M327" s="10" t="s">
        <v>105</v>
      </c>
      <c r="N327" s="10" t="s">
        <v>547</v>
      </c>
      <c r="O327" s="10" t="s">
        <v>107</v>
      </c>
    </row>
    <row r="328" customFormat="false" ht="15" hidden="false" customHeight="false" outlineLevel="0" collapsed="false">
      <c r="A328" s="10" t="n">
        <v>327</v>
      </c>
      <c r="B328" s="10" t="s">
        <v>548</v>
      </c>
      <c r="C328" s="10" t="s">
        <v>522</v>
      </c>
      <c r="D328" s="10" t="s">
        <v>523</v>
      </c>
      <c r="E328" s="10" t="s">
        <v>92</v>
      </c>
      <c r="F328" s="10" t="s">
        <v>136</v>
      </c>
      <c r="G328" s="11" t="n">
        <v>420</v>
      </c>
      <c r="H328" s="11"/>
      <c r="I328" s="11"/>
      <c r="J328" s="11"/>
      <c r="K328" s="10" t="str">
        <f aca="false">IF(ISNUMBER(J328),IF(J328&lt;10,"ультра-НЧ",IF(J328&lt;100,"НЧ",IF(J328&lt;=1000,"СЧ","ВЧ"))),IF(ISNUMBER(I328),IF(I328&lt;10,"ультра-НЧ",IF(I328&lt;100,"НЧ",IF(I328&lt;=1000,"СЧ","ВЧ"))),"нет данных"))</f>
        <v>нет данных</v>
      </c>
      <c r="L328" s="12" t="str">
        <f aca="false">IF(AND(ISNUMBER(G328),G328&gt;0,ISNUMBER(I328)),I328/G328,"")</f>
        <v/>
      </c>
      <c r="M328" s="10" t="s">
        <v>105</v>
      </c>
      <c r="N328" s="10" t="s">
        <v>548</v>
      </c>
      <c r="O328" s="10" t="s">
        <v>107</v>
      </c>
    </row>
    <row r="329" customFormat="false" ht="15" hidden="false" customHeight="false" outlineLevel="0" collapsed="false">
      <c r="A329" s="10" t="n">
        <v>328</v>
      </c>
      <c r="B329" s="10" t="s">
        <v>549</v>
      </c>
      <c r="C329" s="10" t="s">
        <v>522</v>
      </c>
      <c r="D329" s="10" t="s">
        <v>523</v>
      </c>
      <c r="E329" s="10" t="s">
        <v>92</v>
      </c>
      <c r="F329" s="10" t="s">
        <v>136</v>
      </c>
      <c r="G329" s="11" t="n">
        <v>409</v>
      </c>
      <c r="H329" s="11"/>
      <c r="I329" s="11"/>
      <c r="J329" s="11"/>
      <c r="K329" s="10" t="str">
        <f aca="false">IF(ISNUMBER(J329),IF(J329&lt;10,"ультра-НЧ",IF(J329&lt;100,"НЧ",IF(J329&lt;=1000,"СЧ","ВЧ"))),IF(ISNUMBER(I329),IF(I329&lt;10,"ультра-НЧ",IF(I329&lt;100,"НЧ",IF(I329&lt;=1000,"СЧ","ВЧ"))),"нет данных"))</f>
        <v>нет данных</v>
      </c>
      <c r="L329" s="12" t="str">
        <f aca="false">IF(AND(ISNUMBER(G329),G329&gt;0,ISNUMBER(I329)),I329/G329,"")</f>
        <v/>
      </c>
      <c r="M329" s="10" t="s">
        <v>105</v>
      </c>
      <c r="N329" s="10" t="s">
        <v>549</v>
      </c>
      <c r="O329" s="10" t="s">
        <v>107</v>
      </c>
    </row>
    <row r="330" customFormat="false" ht="15" hidden="false" customHeight="false" outlineLevel="0" collapsed="false">
      <c r="A330" s="10" t="n">
        <v>329</v>
      </c>
      <c r="B330" s="10" t="s">
        <v>550</v>
      </c>
      <c r="C330" s="10" t="s">
        <v>522</v>
      </c>
      <c r="D330" s="10" t="s">
        <v>523</v>
      </c>
      <c r="E330" s="10" t="s">
        <v>92</v>
      </c>
      <c r="F330" s="10" t="s">
        <v>136</v>
      </c>
      <c r="G330" s="11" t="n">
        <v>386</v>
      </c>
      <c r="H330" s="11"/>
      <c r="I330" s="11"/>
      <c r="J330" s="11"/>
      <c r="K330" s="10" t="str">
        <f aca="false">IF(ISNUMBER(J330),IF(J330&lt;10,"ультра-НЧ",IF(J330&lt;100,"НЧ",IF(J330&lt;=1000,"СЧ","ВЧ"))),IF(ISNUMBER(I330),IF(I330&lt;10,"ультра-НЧ",IF(I330&lt;100,"НЧ",IF(I330&lt;=1000,"СЧ","ВЧ"))),"нет данных"))</f>
        <v>нет данных</v>
      </c>
      <c r="L330" s="12" t="str">
        <f aca="false">IF(AND(ISNUMBER(G330),G330&gt;0,ISNUMBER(I330)),I330/G330,"")</f>
        <v/>
      </c>
      <c r="M330" s="10" t="s">
        <v>105</v>
      </c>
      <c r="N330" s="10" t="s">
        <v>550</v>
      </c>
      <c r="O330" s="10" t="s">
        <v>107</v>
      </c>
    </row>
    <row r="331" customFormat="false" ht="15" hidden="false" customHeight="false" outlineLevel="0" collapsed="false">
      <c r="A331" s="10" t="n">
        <v>330</v>
      </c>
      <c r="B331" s="10" t="s">
        <v>551</v>
      </c>
      <c r="C331" s="10" t="s">
        <v>522</v>
      </c>
      <c r="D331" s="10" t="s">
        <v>523</v>
      </c>
      <c r="E331" s="10" t="s">
        <v>92</v>
      </c>
      <c r="F331" s="10" t="s">
        <v>136</v>
      </c>
      <c r="G331" s="11" t="n">
        <v>365</v>
      </c>
      <c r="H331" s="11"/>
      <c r="I331" s="11"/>
      <c r="J331" s="11"/>
      <c r="K331" s="10" t="str">
        <f aca="false">IF(ISNUMBER(J331),IF(J331&lt;10,"ультра-НЧ",IF(J331&lt;100,"НЧ",IF(J331&lt;=1000,"СЧ","ВЧ"))),IF(ISNUMBER(I331),IF(I331&lt;10,"ультра-НЧ",IF(I331&lt;100,"НЧ",IF(I331&lt;=1000,"СЧ","ВЧ"))),"нет данных"))</f>
        <v>нет данных</v>
      </c>
      <c r="L331" s="12" t="str">
        <f aca="false">IF(AND(ISNUMBER(G331),G331&gt;0,ISNUMBER(I331)),I331/G331,"")</f>
        <v/>
      </c>
      <c r="M331" s="10" t="s">
        <v>105</v>
      </c>
      <c r="N331" s="10" t="s">
        <v>551</v>
      </c>
      <c r="O331" s="10" t="s">
        <v>107</v>
      </c>
    </row>
    <row r="332" customFormat="false" ht="15" hidden="false" customHeight="false" outlineLevel="0" collapsed="false">
      <c r="A332" s="10" t="n">
        <v>331</v>
      </c>
      <c r="B332" s="10" t="s">
        <v>552</v>
      </c>
      <c r="C332" s="10" t="s">
        <v>522</v>
      </c>
      <c r="D332" s="10" t="s">
        <v>523</v>
      </c>
      <c r="E332" s="10" t="s">
        <v>92</v>
      </c>
      <c r="F332" s="10" t="s">
        <v>136</v>
      </c>
      <c r="G332" s="11" t="n">
        <v>356</v>
      </c>
      <c r="H332" s="11"/>
      <c r="I332" s="11"/>
      <c r="J332" s="11"/>
      <c r="K332" s="10" t="str">
        <f aca="false">IF(ISNUMBER(J332),IF(J332&lt;10,"ультра-НЧ",IF(J332&lt;100,"НЧ",IF(J332&lt;=1000,"СЧ","ВЧ"))),IF(ISNUMBER(I332),IF(I332&lt;10,"ультра-НЧ",IF(I332&lt;100,"НЧ",IF(I332&lt;=1000,"СЧ","ВЧ"))),"нет данных"))</f>
        <v>нет данных</v>
      </c>
      <c r="L332" s="12" t="str">
        <f aca="false">IF(AND(ISNUMBER(G332),G332&gt;0,ISNUMBER(I332)),I332/G332,"")</f>
        <v/>
      </c>
      <c r="M332" s="10" t="s">
        <v>105</v>
      </c>
      <c r="N332" s="10" t="s">
        <v>552</v>
      </c>
      <c r="O332" s="10" t="s">
        <v>107</v>
      </c>
    </row>
    <row r="333" customFormat="false" ht="15" hidden="false" customHeight="false" outlineLevel="0" collapsed="false">
      <c r="A333" s="10" t="n">
        <v>332</v>
      </c>
      <c r="B333" s="10" t="s">
        <v>553</v>
      </c>
      <c r="C333" s="10" t="s">
        <v>522</v>
      </c>
      <c r="D333" s="10" t="s">
        <v>523</v>
      </c>
      <c r="E333" s="10" t="s">
        <v>92</v>
      </c>
      <c r="F333" s="10" t="s">
        <v>136</v>
      </c>
      <c r="G333" s="11" t="n">
        <v>354</v>
      </c>
      <c r="H333" s="11"/>
      <c r="I333" s="11"/>
      <c r="J333" s="11"/>
      <c r="K333" s="10" t="str">
        <f aca="false">IF(ISNUMBER(J333),IF(J333&lt;10,"ультра-НЧ",IF(J333&lt;100,"НЧ",IF(J333&lt;=1000,"СЧ","ВЧ"))),IF(ISNUMBER(I333),IF(I333&lt;10,"ультра-НЧ",IF(I333&lt;100,"НЧ",IF(I333&lt;=1000,"СЧ","ВЧ"))),"нет данных"))</f>
        <v>нет данных</v>
      </c>
      <c r="L333" s="12" t="str">
        <f aca="false">IF(AND(ISNUMBER(G333),G333&gt;0,ISNUMBER(I333)),I333/G333,"")</f>
        <v/>
      </c>
      <c r="M333" s="10" t="s">
        <v>105</v>
      </c>
      <c r="N333" s="10" t="s">
        <v>553</v>
      </c>
      <c r="O333" s="10" t="s">
        <v>107</v>
      </c>
    </row>
    <row r="334" customFormat="false" ht="15" hidden="false" customHeight="false" outlineLevel="0" collapsed="false">
      <c r="A334" s="10" t="n">
        <v>333</v>
      </c>
      <c r="B334" s="10" t="s">
        <v>554</v>
      </c>
      <c r="C334" s="10" t="s">
        <v>522</v>
      </c>
      <c r="D334" s="10" t="s">
        <v>523</v>
      </c>
      <c r="E334" s="10" t="s">
        <v>92</v>
      </c>
      <c r="F334" s="10" t="s">
        <v>136</v>
      </c>
      <c r="G334" s="11" t="n">
        <v>351</v>
      </c>
      <c r="H334" s="11"/>
      <c r="I334" s="11"/>
      <c r="J334" s="11"/>
      <c r="K334" s="10" t="str">
        <f aca="false">IF(ISNUMBER(J334),IF(J334&lt;10,"ультра-НЧ",IF(J334&lt;100,"НЧ",IF(J334&lt;=1000,"СЧ","ВЧ"))),IF(ISNUMBER(I334),IF(I334&lt;10,"ультра-НЧ",IF(I334&lt;100,"НЧ",IF(I334&lt;=1000,"СЧ","ВЧ"))),"нет данных"))</f>
        <v>нет данных</v>
      </c>
      <c r="L334" s="12" t="str">
        <f aca="false">IF(AND(ISNUMBER(G334),G334&gt;0,ISNUMBER(I334)),I334/G334,"")</f>
        <v/>
      </c>
      <c r="M334" s="10" t="s">
        <v>105</v>
      </c>
      <c r="N334" s="10" t="s">
        <v>554</v>
      </c>
      <c r="O334" s="10" t="s">
        <v>107</v>
      </c>
    </row>
    <row r="335" customFormat="false" ht="15" hidden="false" customHeight="false" outlineLevel="0" collapsed="false">
      <c r="A335" s="10" t="n">
        <v>334</v>
      </c>
      <c r="B335" s="10" t="s">
        <v>555</v>
      </c>
      <c r="C335" s="10" t="s">
        <v>522</v>
      </c>
      <c r="D335" s="10" t="s">
        <v>523</v>
      </c>
      <c r="E335" s="10" t="s">
        <v>92</v>
      </c>
      <c r="F335" s="10" t="s">
        <v>136</v>
      </c>
      <c r="G335" s="11" t="n">
        <v>345</v>
      </c>
      <c r="H335" s="11"/>
      <c r="I335" s="11"/>
      <c r="J335" s="11"/>
      <c r="K335" s="10" t="str">
        <f aca="false">IF(ISNUMBER(J335),IF(J335&lt;10,"ультра-НЧ",IF(J335&lt;100,"НЧ",IF(J335&lt;=1000,"СЧ","ВЧ"))),IF(ISNUMBER(I335),IF(I335&lt;10,"ультра-НЧ",IF(I335&lt;100,"НЧ",IF(I335&lt;=1000,"СЧ","ВЧ"))),"нет данных"))</f>
        <v>нет данных</v>
      </c>
      <c r="L335" s="12" t="str">
        <f aca="false">IF(AND(ISNUMBER(G335),G335&gt;0,ISNUMBER(I335)),I335/G335,"")</f>
        <v/>
      </c>
      <c r="M335" s="10" t="s">
        <v>105</v>
      </c>
      <c r="N335" s="10" t="s">
        <v>555</v>
      </c>
      <c r="O335" s="10" t="s">
        <v>107</v>
      </c>
    </row>
    <row r="336" customFormat="false" ht="15" hidden="false" customHeight="false" outlineLevel="0" collapsed="false">
      <c r="A336" s="10" t="n">
        <v>335</v>
      </c>
      <c r="B336" s="10" t="s">
        <v>556</v>
      </c>
      <c r="C336" s="10" t="s">
        <v>522</v>
      </c>
      <c r="D336" s="10" t="s">
        <v>523</v>
      </c>
      <c r="E336" s="10" t="s">
        <v>92</v>
      </c>
      <c r="F336" s="10" t="s">
        <v>136</v>
      </c>
      <c r="G336" s="11" t="n">
        <v>342</v>
      </c>
      <c r="H336" s="11"/>
      <c r="I336" s="11"/>
      <c r="J336" s="11"/>
      <c r="K336" s="10" t="str">
        <f aca="false">IF(ISNUMBER(J336),IF(J336&lt;10,"ультра-НЧ",IF(J336&lt;100,"НЧ",IF(J336&lt;=1000,"СЧ","ВЧ"))),IF(ISNUMBER(I336),IF(I336&lt;10,"ультра-НЧ",IF(I336&lt;100,"НЧ",IF(I336&lt;=1000,"СЧ","ВЧ"))),"нет данных"))</f>
        <v>нет данных</v>
      </c>
      <c r="L336" s="12" t="str">
        <f aca="false">IF(AND(ISNUMBER(G336),G336&gt;0,ISNUMBER(I336)),I336/G336,"")</f>
        <v/>
      </c>
      <c r="M336" s="10" t="s">
        <v>105</v>
      </c>
      <c r="N336" s="10" t="s">
        <v>556</v>
      </c>
      <c r="O336" s="10" t="s">
        <v>107</v>
      </c>
    </row>
    <row r="337" customFormat="false" ht="15" hidden="false" customHeight="false" outlineLevel="0" collapsed="false">
      <c r="A337" s="10" t="n">
        <v>336</v>
      </c>
      <c r="B337" s="10" t="s">
        <v>557</v>
      </c>
      <c r="C337" s="10" t="s">
        <v>522</v>
      </c>
      <c r="D337" s="10" t="s">
        <v>523</v>
      </c>
      <c r="E337" s="10" t="s">
        <v>92</v>
      </c>
      <c r="F337" s="10" t="s">
        <v>136</v>
      </c>
      <c r="G337" s="11" t="n">
        <v>322</v>
      </c>
      <c r="H337" s="11"/>
      <c r="I337" s="11"/>
      <c r="J337" s="11"/>
      <c r="K337" s="10" t="str">
        <f aca="false">IF(ISNUMBER(J337),IF(J337&lt;10,"ультра-НЧ",IF(J337&lt;100,"НЧ",IF(J337&lt;=1000,"СЧ","ВЧ"))),IF(ISNUMBER(I337),IF(I337&lt;10,"ультра-НЧ",IF(I337&lt;100,"НЧ",IF(I337&lt;=1000,"СЧ","ВЧ"))),"нет данных"))</f>
        <v>нет данных</v>
      </c>
      <c r="L337" s="12" t="str">
        <f aca="false">IF(AND(ISNUMBER(G337),G337&gt;0,ISNUMBER(I337)),I337/G337,"")</f>
        <v/>
      </c>
      <c r="M337" s="10" t="s">
        <v>105</v>
      </c>
      <c r="N337" s="10" t="s">
        <v>557</v>
      </c>
      <c r="O337" s="10" t="s">
        <v>107</v>
      </c>
    </row>
    <row r="338" customFormat="false" ht="15" hidden="false" customHeight="false" outlineLevel="0" collapsed="false">
      <c r="A338" s="10" t="n">
        <v>337</v>
      </c>
      <c r="B338" s="10" t="s">
        <v>558</v>
      </c>
      <c r="C338" s="10" t="s">
        <v>522</v>
      </c>
      <c r="D338" s="10" t="s">
        <v>523</v>
      </c>
      <c r="E338" s="10" t="s">
        <v>92</v>
      </c>
      <c r="F338" s="10" t="s">
        <v>136</v>
      </c>
      <c r="G338" s="11" t="n">
        <v>322</v>
      </c>
      <c r="H338" s="11"/>
      <c r="I338" s="11"/>
      <c r="J338" s="11"/>
      <c r="K338" s="10" t="str">
        <f aca="false">IF(ISNUMBER(J338),IF(J338&lt;10,"ультра-НЧ",IF(J338&lt;100,"НЧ",IF(J338&lt;=1000,"СЧ","ВЧ"))),IF(ISNUMBER(I338),IF(I338&lt;10,"ультра-НЧ",IF(I338&lt;100,"НЧ",IF(I338&lt;=1000,"СЧ","ВЧ"))),"нет данных"))</f>
        <v>нет данных</v>
      </c>
      <c r="L338" s="12" t="str">
        <f aca="false">IF(AND(ISNUMBER(G338),G338&gt;0,ISNUMBER(I338)),I338/G338,"")</f>
        <v/>
      </c>
      <c r="M338" s="10" t="s">
        <v>105</v>
      </c>
      <c r="N338" s="10" t="s">
        <v>558</v>
      </c>
      <c r="O338" s="10" t="s">
        <v>107</v>
      </c>
    </row>
    <row r="339" customFormat="false" ht="15" hidden="false" customHeight="false" outlineLevel="0" collapsed="false">
      <c r="A339" s="10" t="n">
        <v>338</v>
      </c>
      <c r="B339" s="10" t="s">
        <v>559</v>
      </c>
      <c r="C339" s="10" t="s">
        <v>522</v>
      </c>
      <c r="D339" s="10" t="s">
        <v>523</v>
      </c>
      <c r="E339" s="10" t="s">
        <v>92</v>
      </c>
      <c r="F339" s="10" t="s">
        <v>136</v>
      </c>
      <c r="G339" s="11" t="n">
        <v>312</v>
      </c>
      <c r="H339" s="11"/>
      <c r="I339" s="11"/>
      <c r="J339" s="11"/>
      <c r="K339" s="10" t="str">
        <f aca="false">IF(ISNUMBER(J339),IF(J339&lt;10,"ультра-НЧ",IF(J339&lt;100,"НЧ",IF(J339&lt;=1000,"СЧ","ВЧ"))),IF(ISNUMBER(I339),IF(I339&lt;10,"ультра-НЧ",IF(I339&lt;100,"НЧ",IF(I339&lt;=1000,"СЧ","ВЧ"))),"нет данных"))</f>
        <v>нет данных</v>
      </c>
      <c r="L339" s="12" t="str">
        <f aca="false">IF(AND(ISNUMBER(G339),G339&gt;0,ISNUMBER(I339)),I339/G339,"")</f>
        <v/>
      </c>
      <c r="M339" s="10" t="s">
        <v>105</v>
      </c>
      <c r="N339" s="10" t="s">
        <v>560</v>
      </c>
      <c r="O339" s="10" t="s">
        <v>107</v>
      </c>
    </row>
    <row r="340" customFormat="false" ht="15" hidden="false" customHeight="false" outlineLevel="0" collapsed="false">
      <c r="A340" s="10" t="n">
        <v>339</v>
      </c>
      <c r="B340" s="10" t="s">
        <v>561</v>
      </c>
      <c r="C340" s="10" t="s">
        <v>522</v>
      </c>
      <c r="D340" s="10" t="s">
        <v>523</v>
      </c>
      <c r="E340" s="10" t="s">
        <v>92</v>
      </c>
      <c r="F340" s="10" t="s">
        <v>136</v>
      </c>
      <c r="G340" s="11" t="n">
        <v>287</v>
      </c>
      <c r="H340" s="11"/>
      <c r="I340" s="11"/>
      <c r="J340" s="11"/>
      <c r="K340" s="10" t="str">
        <f aca="false">IF(ISNUMBER(J340),IF(J340&lt;10,"ультра-НЧ",IF(J340&lt;100,"НЧ",IF(J340&lt;=1000,"СЧ","ВЧ"))),IF(ISNUMBER(I340),IF(I340&lt;10,"ультра-НЧ",IF(I340&lt;100,"НЧ",IF(I340&lt;=1000,"СЧ","ВЧ"))),"нет данных"))</f>
        <v>нет данных</v>
      </c>
      <c r="L340" s="12" t="str">
        <f aca="false">IF(AND(ISNUMBER(G340),G340&gt;0,ISNUMBER(I340)),I340/G340,"")</f>
        <v/>
      </c>
      <c r="M340" s="10" t="s">
        <v>105</v>
      </c>
      <c r="N340" s="10" t="s">
        <v>561</v>
      </c>
      <c r="O340" s="10" t="s">
        <v>107</v>
      </c>
    </row>
    <row r="341" customFormat="false" ht="15" hidden="false" customHeight="false" outlineLevel="0" collapsed="false">
      <c r="A341" s="10" t="n">
        <v>340</v>
      </c>
      <c r="B341" s="10" t="s">
        <v>562</v>
      </c>
      <c r="C341" s="10" t="s">
        <v>522</v>
      </c>
      <c r="D341" s="10" t="s">
        <v>523</v>
      </c>
      <c r="E341" s="10" t="s">
        <v>92</v>
      </c>
      <c r="F341" s="10" t="s">
        <v>136</v>
      </c>
      <c r="G341" s="11" t="n">
        <v>272</v>
      </c>
      <c r="H341" s="11"/>
      <c r="I341" s="11"/>
      <c r="J341" s="11"/>
      <c r="K341" s="10" t="str">
        <f aca="false">IF(ISNUMBER(J341),IF(J341&lt;10,"ультра-НЧ",IF(J341&lt;100,"НЧ",IF(J341&lt;=1000,"СЧ","ВЧ"))),IF(ISNUMBER(I341),IF(I341&lt;10,"ультра-НЧ",IF(I341&lt;100,"НЧ",IF(I341&lt;=1000,"СЧ","ВЧ"))),"нет данных"))</f>
        <v>нет данных</v>
      </c>
      <c r="L341" s="12" t="str">
        <f aca="false">IF(AND(ISNUMBER(G341),G341&gt;0,ISNUMBER(I341)),I341/G341,"")</f>
        <v/>
      </c>
      <c r="M341" s="10" t="s">
        <v>105</v>
      </c>
      <c r="N341" s="10" t="s">
        <v>562</v>
      </c>
      <c r="O341" s="10" t="s">
        <v>107</v>
      </c>
    </row>
    <row r="342" customFormat="false" ht="15" hidden="false" customHeight="false" outlineLevel="0" collapsed="false">
      <c r="A342" s="10" t="n">
        <v>341</v>
      </c>
      <c r="B342" s="10" t="s">
        <v>563</v>
      </c>
      <c r="C342" s="10" t="s">
        <v>522</v>
      </c>
      <c r="D342" s="10" t="s">
        <v>523</v>
      </c>
      <c r="E342" s="10" t="s">
        <v>92</v>
      </c>
      <c r="F342" s="10" t="s">
        <v>136</v>
      </c>
      <c r="G342" s="11" t="n">
        <v>262</v>
      </c>
      <c r="H342" s="11"/>
      <c r="I342" s="11"/>
      <c r="J342" s="11"/>
      <c r="K342" s="10" t="str">
        <f aca="false">IF(ISNUMBER(J342),IF(J342&lt;10,"ультра-НЧ",IF(J342&lt;100,"НЧ",IF(J342&lt;=1000,"СЧ","ВЧ"))),IF(ISNUMBER(I342),IF(I342&lt;10,"ультра-НЧ",IF(I342&lt;100,"НЧ",IF(I342&lt;=1000,"СЧ","ВЧ"))),"нет данных"))</f>
        <v>нет данных</v>
      </c>
      <c r="L342" s="12" t="str">
        <f aca="false">IF(AND(ISNUMBER(G342),G342&gt;0,ISNUMBER(I342)),I342/G342,"")</f>
        <v/>
      </c>
      <c r="M342" s="10" t="s">
        <v>105</v>
      </c>
      <c r="N342" s="10" t="s">
        <v>563</v>
      </c>
      <c r="O342" s="10" t="s">
        <v>107</v>
      </c>
    </row>
    <row r="343" customFormat="false" ht="15" hidden="false" customHeight="false" outlineLevel="0" collapsed="false">
      <c r="A343" s="10" t="n">
        <v>342</v>
      </c>
      <c r="B343" s="10" t="s">
        <v>564</v>
      </c>
      <c r="C343" s="10" t="s">
        <v>522</v>
      </c>
      <c r="D343" s="10" t="s">
        <v>523</v>
      </c>
      <c r="E343" s="10" t="s">
        <v>92</v>
      </c>
      <c r="F343" s="10" t="s">
        <v>136</v>
      </c>
      <c r="G343" s="11" t="n">
        <v>246</v>
      </c>
      <c r="H343" s="11"/>
      <c r="I343" s="11"/>
      <c r="J343" s="11"/>
      <c r="K343" s="10" t="str">
        <f aca="false">IF(ISNUMBER(J343),IF(J343&lt;10,"ультра-НЧ",IF(J343&lt;100,"НЧ",IF(J343&lt;=1000,"СЧ","ВЧ"))),IF(ISNUMBER(I343),IF(I343&lt;10,"ультра-НЧ",IF(I343&lt;100,"НЧ",IF(I343&lt;=1000,"СЧ","ВЧ"))),"нет данных"))</f>
        <v>нет данных</v>
      </c>
      <c r="L343" s="12" t="str">
        <f aca="false">IF(AND(ISNUMBER(G343),G343&gt;0,ISNUMBER(I343)),I343/G343,"")</f>
        <v/>
      </c>
      <c r="M343" s="10" t="s">
        <v>105</v>
      </c>
      <c r="N343" s="10" t="s">
        <v>565</v>
      </c>
      <c r="O343" s="10" t="s">
        <v>107</v>
      </c>
    </row>
    <row r="344" customFormat="false" ht="15" hidden="false" customHeight="false" outlineLevel="0" collapsed="false">
      <c r="A344" s="10" t="n">
        <v>343</v>
      </c>
      <c r="B344" s="10" t="s">
        <v>566</v>
      </c>
      <c r="C344" s="10" t="s">
        <v>522</v>
      </c>
      <c r="D344" s="10" t="s">
        <v>523</v>
      </c>
      <c r="E344" s="10" t="s">
        <v>92</v>
      </c>
      <c r="F344" s="10" t="s">
        <v>136</v>
      </c>
      <c r="G344" s="11" t="n">
        <v>241</v>
      </c>
      <c r="H344" s="11"/>
      <c r="I344" s="11"/>
      <c r="J344" s="11"/>
      <c r="K344" s="10" t="str">
        <f aca="false">IF(ISNUMBER(J344),IF(J344&lt;10,"ультра-НЧ",IF(J344&lt;100,"НЧ",IF(J344&lt;=1000,"СЧ","ВЧ"))),IF(ISNUMBER(I344),IF(I344&lt;10,"ультра-НЧ",IF(I344&lt;100,"НЧ",IF(I344&lt;=1000,"СЧ","ВЧ"))),"нет данных"))</f>
        <v>нет данных</v>
      </c>
      <c r="L344" s="12" t="str">
        <f aca="false">IF(AND(ISNUMBER(G344),G344&gt;0,ISNUMBER(I344)),I344/G344,"")</f>
        <v/>
      </c>
      <c r="M344" s="10" t="s">
        <v>105</v>
      </c>
      <c r="N344" s="10" t="s">
        <v>566</v>
      </c>
      <c r="O344" s="10" t="s">
        <v>107</v>
      </c>
    </row>
    <row r="345" customFormat="false" ht="15" hidden="false" customHeight="false" outlineLevel="0" collapsed="false">
      <c r="A345" s="10" t="n">
        <v>344</v>
      </c>
      <c r="B345" s="10" t="s">
        <v>567</v>
      </c>
      <c r="C345" s="10" t="s">
        <v>522</v>
      </c>
      <c r="D345" s="10" t="s">
        <v>523</v>
      </c>
      <c r="E345" s="10" t="s">
        <v>92</v>
      </c>
      <c r="F345" s="10" t="s">
        <v>136</v>
      </c>
      <c r="G345" s="11" t="n">
        <v>234</v>
      </c>
      <c r="H345" s="11"/>
      <c r="I345" s="11"/>
      <c r="J345" s="11"/>
      <c r="K345" s="10" t="str">
        <f aca="false">IF(ISNUMBER(J345),IF(J345&lt;10,"ультра-НЧ",IF(J345&lt;100,"НЧ",IF(J345&lt;=1000,"СЧ","ВЧ"))),IF(ISNUMBER(I345),IF(I345&lt;10,"ультра-НЧ",IF(I345&lt;100,"НЧ",IF(I345&lt;=1000,"СЧ","ВЧ"))),"нет данных"))</f>
        <v>нет данных</v>
      </c>
      <c r="L345" s="12" t="str">
        <f aca="false">IF(AND(ISNUMBER(G345),G345&gt;0,ISNUMBER(I345)),I345/G345,"")</f>
        <v/>
      </c>
      <c r="M345" s="10" t="s">
        <v>105</v>
      </c>
      <c r="N345" s="10" t="s">
        <v>568</v>
      </c>
      <c r="O345" s="10" t="s">
        <v>107</v>
      </c>
    </row>
    <row r="346" customFormat="false" ht="15" hidden="false" customHeight="false" outlineLevel="0" collapsed="false">
      <c r="A346" s="10" t="n">
        <v>345</v>
      </c>
      <c r="B346" s="10" t="s">
        <v>569</v>
      </c>
      <c r="C346" s="10" t="s">
        <v>522</v>
      </c>
      <c r="D346" s="10" t="s">
        <v>523</v>
      </c>
      <c r="E346" s="10" t="s">
        <v>92</v>
      </c>
      <c r="F346" s="10" t="s">
        <v>136</v>
      </c>
      <c r="G346" s="11" t="n">
        <v>230</v>
      </c>
      <c r="H346" s="11"/>
      <c r="I346" s="11"/>
      <c r="J346" s="11"/>
      <c r="K346" s="10" t="str">
        <f aca="false">IF(ISNUMBER(J346),IF(J346&lt;10,"ультра-НЧ",IF(J346&lt;100,"НЧ",IF(J346&lt;=1000,"СЧ","ВЧ"))),IF(ISNUMBER(I346),IF(I346&lt;10,"ультра-НЧ",IF(I346&lt;100,"НЧ",IF(I346&lt;=1000,"СЧ","ВЧ"))),"нет данных"))</f>
        <v>нет данных</v>
      </c>
      <c r="L346" s="12" t="str">
        <f aca="false">IF(AND(ISNUMBER(G346),G346&gt;0,ISNUMBER(I346)),I346/G346,"")</f>
        <v/>
      </c>
      <c r="M346" s="10" t="s">
        <v>105</v>
      </c>
      <c r="N346" s="10" t="s">
        <v>569</v>
      </c>
      <c r="O346" s="10" t="s">
        <v>107</v>
      </c>
    </row>
    <row r="347" customFormat="false" ht="15" hidden="false" customHeight="false" outlineLevel="0" collapsed="false">
      <c r="A347" s="10" t="n">
        <v>346</v>
      </c>
      <c r="B347" s="10" t="s">
        <v>570</v>
      </c>
      <c r="C347" s="10" t="s">
        <v>522</v>
      </c>
      <c r="D347" s="10" t="s">
        <v>523</v>
      </c>
      <c r="E347" s="10" t="s">
        <v>92</v>
      </c>
      <c r="F347" s="10" t="s">
        <v>136</v>
      </c>
      <c r="G347" s="11" t="n">
        <v>224</v>
      </c>
      <c r="H347" s="11"/>
      <c r="I347" s="11"/>
      <c r="J347" s="11"/>
      <c r="K347" s="10" t="str">
        <f aca="false">IF(ISNUMBER(J347),IF(J347&lt;10,"ультра-НЧ",IF(J347&lt;100,"НЧ",IF(J347&lt;=1000,"СЧ","ВЧ"))),IF(ISNUMBER(I347),IF(I347&lt;10,"ультра-НЧ",IF(I347&lt;100,"НЧ",IF(I347&lt;=1000,"СЧ","ВЧ"))),"нет данных"))</f>
        <v>нет данных</v>
      </c>
      <c r="L347" s="12" t="str">
        <f aca="false">IF(AND(ISNUMBER(G347),G347&gt;0,ISNUMBER(I347)),I347/G347,"")</f>
        <v/>
      </c>
      <c r="M347" s="10" t="s">
        <v>105</v>
      </c>
      <c r="N347" s="10" t="s">
        <v>571</v>
      </c>
      <c r="O347" s="10" t="s">
        <v>107</v>
      </c>
    </row>
    <row r="348" customFormat="false" ht="15" hidden="false" customHeight="false" outlineLevel="0" collapsed="false">
      <c r="A348" s="10" t="n">
        <v>347</v>
      </c>
      <c r="B348" s="10" t="s">
        <v>572</v>
      </c>
      <c r="C348" s="10" t="s">
        <v>522</v>
      </c>
      <c r="D348" s="10" t="s">
        <v>523</v>
      </c>
      <c r="E348" s="10" t="s">
        <v>92</v>
      </c>
      <c r="F348" s="10" t="s">
        <v>136</v>
      </c>
      <c r="G348" s="11" t="n">
        <v>221</v>
      </c>
      <c r="H348" s="11"/>
      <c r="I348" s="11"/>
      <c r="J348" s="11"/>
      <c r="K348" s="10" t="str">
        <f aca="false">IF(ISNUMBER(J348),IF(J348&lt;10,"ультра-НЧ",IF(J348&lt;100,"НЧ",IF(J348&lt;=1000,"СЧ","ВЧ"))),IF(ISNUMBER(I348),IF(I348&lt;10,"ультра-НЧ",IF(I348&lt;100,"НЧ",IF(I348&lt;=1000,"СЧ","ВЧ"))),"нет данных"))</f>
        <v>нет данных</v>
      </c>
      <c r="L348" s="12" t="str">
        <f aca="false">IF(AND(ISNUMBER(G348),G348&gt;0,ISNUMBER(I348)),I348/G348,"")</f>
        <v/>
      </c>
      <c r="M348" s="10" t="s">
        <v>105</v>
      </c>
      <c r="N348" s="10" t="s">
        <v>572</v>
      </c>
      <c r="O348" s="10" t="s">
        <v>107</v>
      </c>
    </row>
    <row r="349" customFormat="false" ht="15" hidden="false" customHeight="false" outlineLevel="0" collapsed="false">
      <c r="A349" s="10" t="n">
        <v>348</v>
      </c>
      <c r="B349" s="10" t="s">
        <v>573</v>
      </c>
      <c r="C349" s="10" t="s">
        <v>522</v>
      </c>
      <c r="D349" s="10" t="s">
        <v>523</v>
      </c>
      <c r="E349" s="10" t="s">
        <v>92</v>
      </c>
      <c r="F349" s="10" t="s">
        <v>136</v>
      </c>
      <c r="G349" s="11" t="n">
        <v>207</v>
      </c>
      <c r="H349" s="11"/>
      <c r="I349" s="11"/>
      <c r="J349" s="11"/>
      <c r="K349" s="10" t="str">
        <f aca="false">IF(ISNUMBER(J349),IF(J349&lt;10,"ультра-НЧ",IF(J349&lt;100,"НЧ",IF(J349&lt;=1000,"СЧ","ВЧ"))),IF(ISNUMBER(I349),IF(I349&lt;10,"ультра-НЧ",IF(I349&lt;100,"НЧ",IF(I349&lt;=1000,"СЧ","ВЧ"))),"нет данных"))</f>
        <v>нет данных</v>
      </c>
      <c r="L349" s="12" t="str">
        <f aca="false">IF(AND(ISNUMBER(G349),G349&gt;0,ISNUMBER(I349)),I349/G349,"")</f>
        <v/>
      </c>
      <c r="M349" s="10" t="s">
        <v>105</v>
      </c>
      <c r="N349" s="10" t="s">
        <v>574</v>
      </c>
      <c r="O349" s="10" t="s">
        <v>107</v>
      </c>
    </row>
    <row r="350" customFormat="false" ht="15" hidden="false" customHeight="false" outlineLevel="0" collapsed="false">
      <c r="A350" s="10" t="n">
        <v>349</v>
      </c>
      <c r="B350" s="10" t="s">
        <v>575</v>
      </c>
      <c r="C350" s="10" t="s">
        <v>522</v>
      </c>
      <c r="D350" s="10" t="s">
        <v>523</v>
      </c>
      <c r="E350" s="10" t="s">
        <v>92</v>
      </c>
      <c r="F350" s="10" t="s">
        <v>136</v>
      </c>
      <c r="G350" s="11" t="n">
        <v>204</v>
      </c>
      <c r="H350" s="11"/>
      <c r="I350" s="11"/>
      <c r="J350" s="11"/>
      <c r="K350" s="10" t="str">
        <f aca="false">IF(ISNUMBER(J350),IF(J350&lt;10,"ультра-НЧ",IF(J350&lt;100,"НЧ",IF(J350&lt;=1000,"СЧ","ВЧ"))),IF(ISNUMBER(I350),IF(I350&lt;10,"ультра-НЧ",IF(I350&lt;100,"НЧ",IF(I350&lt;=1000,"СЧ","ВЧ"))),"нет данных"))</f>
        <v>нет данных</v>
      </c>
      <c r="L350" s="12" t="str">
        <f aca="false">IF(AND(ISNUMBER(G350),G350&gt;0,ISNUMBER(I350)),I350/G350,"")</f>
        <v/>
      </c>
      <c r="M350" s="10" t="s">
        <v>105</v>
      </c>
      <c r="N350" s="10" t="s">
        <v>575</v>
      </c>
      <c r="O350" s="10" t="s">
        <v>107</v>
      </c>
    </row>
    <row r="351" customFormat="false" ht="15" hidden="false" customHeight="false" outlineLevel="0" collapsed="false">
      <c r="A351" s="10" t="n">
        <v>350</v>
      </c>
      <c r="B351" s="10" t="s">
        <v>576</v>
      </c>
      <c r="C351" s="10" t="s">
        <v>522</v>
      </c>
      <c r="D351" s="10" t="s">
        <v>523</v>
      </c>
      <c r="E351" s="10" t="s">
        <v>92</v>
      </c>
      <c r="F351" s="10" t="s">
        <v>136</v>
      </c>
      <c r="G351" s="11" t="n">
        <v>185</v>
      </c>
      <c r="H351" s="11"/>
      <c r="I351" s="11"/>
      <c r="J351" s="11"/>
      <c r="K351" s="10" t="str">
        <f aca="false">IF(ISNUMBER(J351),IF(J351&lt;10,"ультра-НЧ",IF(J351&lt;100,"НЧ",IF(J351&lt;=1000,"СЧ","ВЧ"))),IF(ISNUMBER(I351),IF(I351&lt;10,"ультра-НЧ",IF(I351&lt;100,"НЧ",IF(I351&lt;=1000,"СЧ","ВЧ"))),"нет данных"))</f>
        <v>нет данных</v>
      </c>
      <c r="L351" s="12" t="str">
        <f aca="false">IF(AND(ISNUMBER(G351),G351&gt;0,ISNUMBER(I351)),I351/G351,"")</f>
        <v/>
      </c>
      <c r="M351" s="10" t="s">
        <v>105</v>
      </c>
      <c r="N351" s="10" t="s">
        <v>576</v>
      </c>
      <c r="O351" s="10" t="s">
        <v>107</v>
      </c>
    </row>
    <row r="352" customFormat="false" ht="15" hidden="false" customHeight="false" outlineLevel="0" collapsed="false">
      <c r="A352" s="10" t="n">
        <v>351</v>
      </c>
      <c r="B352" s="10" t="s">
        <v>577</v>
      </c>
      <c r="C352" s="10" t="s">
        <v>522</v>
      </c>
      <c r="D352" s="10" t="s">
        <v>523</v>
      </c>
      <c r="E352" s="10" t="s">
        <v>92</v>
      </c>
      <c r="F352" s="10" t="s">
        <v>136</v>
      </c>
      <c r="G352" s="11" t="n">
        <v>178</v>
      </c>
      <c r="H352" s="11"/>
      <c r="I352" s="11"/>
      <c r="J352" s="11"/>
      <c r="K352" s="10" t="str">
        <f aca="false">IF(ISNUMBER(J352),IF(J352&lt;10,"ультра-НЧ",IF(J352&lt;100,"НЧ",IF(J352&lt;=1000,"СЧ","ВЧ"))),IF(ISNUMBER(I352),IF(I352&lt;10,"ультра-НЧ",IF(I352&lt;100,"НЧ",IF(I352&lt;=1000,"СЧ","ВЧ"))),"нет данных"))</f>
        <v>нет данных</v>
      </c>
      <c r="L352" s="12" t="str">
        <f aca="false">IF(AND(ISNUMBER(G352),G352&gt;0,ISNUMBER(I352)),I352/G352,"")</f>
        <v/>
      </c>
      <c r="M352" s="10" t="s">
        <v>105</v>
      </c>
      <c r="N352" s="10" t="s">
        <v>577</v>
      </c>
      <c r="O352" s="10" t="s">
        <v>107</v>
      </c>
    </row>
    <row r="353" customFormat="false" ht="15" hidden="false" customHeight="false" outlineLevel="0" collapsed="false">
      <c r="A353" s="10" t="n">
        <v>352</v>
      </c>
      <c r="B353" s="10" t="s">
        <v>578</v>
      </c>
      <c r="C353" s="10" t="s">
        <v>522</v>
      </c>
      <c r="D353" s="10" t="s">
        <v>523</v>
      </c>
      <c r="E353" s="10" t="s">
        <v>92</v>
      </c>
      <c r="F353" s="10" t="s">
        <v>136</v>
      </c>
      <c r="G353" s="11" t="n">
        <v>176</v>
      </c>
      <c r="H353" s="11"/>
      <c r="I353" s="11"/>
      <c r="J353" s="11"/>
      <c r="K353" s="10" t="str">
        <f aca="false">IF(ISNUMBER(J353),IF(J353&lt;10,"ультра-НЧ",IF(J353&lt;100,"НЧ",IF(J353&lt;=1000,"СЧ","ВЧ"))),IF(ISNUMBER(I353),IF(I353&lt;10,"ультра-НЧ",IF(I353&lt;100,"НЧ",IF(I353&lt;=1000,"СЧ","ВЧ"))),"нет данных"))</f>
        <v>нет данных</v>
      </c>
      <c r="L353" s="12" t="str">
        <f aca="false">IF(AND(ISNUMBER(G353),G353&gt;0,ISNUMBER(I353)),I353/G353,"")</f>
        <v/>
      </c>
      <c r="M353" s="10" t="s">
        <v>105</v>
      </c>
      <c r="N353" s="10" t="s">
        <v>579</v>
      </c>
      <c r="O353" s="10" t="s">
        <v>107</v>
      </c>
    </row>
    <row r="354" customFormat="false" ht="15" hidden="false" customHeight="false" outlineLevel="0" collapsed="false">
      <c r="A354" s="10" t="n">
        <v>353</v>
      </c>
      <c r="B354" s="10" t="s">
        <v>580</v>
      </c>
      <c r="C354" s="10" t="s">
        <v>522</v>
      </c>
      <c r="D354" s="10" t="s">
        <v>523</v>
      </c>
      <c r="E354" s="10" t="s">
        <v>92</v>
      </c>
      <c r="F354" s="10" t="s">
        <v>136</v>
      </c>
      <c r="G354" s="11" t="n">
        <v>172</v>
      </c>
      <c r="H354" s="11"/>
      <c r="I354" s="11"/>
      <c r="J354" s="11"/>
      <c r="K354" s="10" t="str">
        <f aca="false">IF(ISNUMBER(J354),IF(J354&lt;10,"ультра-НЧ",IF(J354&lt;100,"НЧ",IF(J354&lt;=1000,"СЧ","ВЧ"))),IF(ISNUMBER(I354),IF(I354&lt;10,"ультра-НЧ",IF(I354&lt;100,"НЧ",IF(I354&lt;=1000,"СЧ","ВЧ"))),"нет данных"))</f>
        <v>нет данных</v>
      </c>
      <c r="L354" s="12" t="str">
        <f aca="false">IF(AND(ISNUMBER(G354),G354&gt;0,ISNUMBER(I354)),I354/G354,"")</f>
        <v/>
      </c>
      <c r="M354" s="10" t="s">
        <v>105</v>
      </c>
      <c r="N354" s="10" t="s">
        <v>580</v>
      </c>
      <c r="O354" s="10" t="s">
        <v>107</v>
      </c>
    </row>
    <row r="355" customFormat="false" ht="15" hidden="false" customHeight="false" outlineLevel="0" collapsed="false">
      <c r="A355" s="10" t="n">
        <v>354</v>
      </c>
      <c r="B355" s="10" t="s">
        <v>581</v>
      </c>
      <c r="C355" s="10" t="s">
        <v>522</v>
      </c>
      <c r="D355" s="10" t="s">
        <v>523</v>
      </c>
      <c r="E355" s="10" t="s">
        <v>92</v>
      </c>
      <c r="F355" s="10" t="s">
        <v>136</v>
      </c>
      <c r="G355" s="11" t="n">
        <v>171</v>
      </c>
      <c r="H355" s="11"/>
      <c r="I355" s="11"/>
      <c r="J355" s="11"/>
      <c r="K355" s="10" t="str">
        <f aca="false">IF(ISNUMBER(J355),IF(J355&lt;10,"ультра-НЧ",IF(J355&lt;100,"НЧ",IF(J355&lt;=1000,"СЧ","ВЧ"))),IF(ISNUMBER(I355),IF(I355&lt;10,"ультра-НЧ",IF(I355&lt;100,"НЧ",IF(I355&lt;=1000,"СЧ","ВЧ"))),"нет данных"))</f>
        <v>нет данных</v>
      </c>
      <c r="L355" s="12" t="str">
        <f aca="false">IF(AND(ISNUMBER(G355),G355&gt;0,ISNUMBER(I355)),I355/G355,"")</f>
        <v/>
      </c>
      <c r="M355" s="10" t="s">
        <v>105</v>
      </c>
      <c r="N355" s="10" t="s">
        <v>581</v>
      </c>
      <c r="O355" s="10" t="s">
        <v>107</v>
      </c>
    </row>
    <row r="356" customFormat="false" ht="15" hidden="false" customHeight="false" outlineLevel="0" collapsed="false">
      <c r="A356" s="10" t="n">
        <v>355</v>
      </c>
      <c r="B356" s="10" t="s">
        <v>582</v>
      </c>
      <c r="C356" s="10" t="s">
        <v>522</v>
      </c>
      <c r="D356" s="10" t="s">
        <v>523</v>
      </c>
      <c r="E356" s="10" t="s">
        <v>92</v>
      </c>
      <c r="F356" s="10" t="s">
        <v>136</v>
      </c>
      <c r="G356" s="11" t="n">
        <v>165</v>
      </c>
      <c r="H356" s="11"/>
      <c r="I356" s="11"/>
      <c r="J356" s="11"/>
      <c r="K356" s="10" t="str">
        <f aca="false">IF(ISNUMBER(J356),IF(J356&lt;10,"ультра-НЧ",IF(J356&lt;100,"НЧ",IF(J356&lt;=1000,"СЧ","ВЧ"))),IF(ISNUMBER(I356),IF(I356&lt;10,"ультра-НЧ",IF(I356&lt;100,"НЧ",IF(I356&lt;=1000,"СЧ","ВЧ"))),"нет данных"))</f>
        <v>нет данных</v>
      </c>
      <c r="L356" s="12" t="str">
        <f aca="false">IF(AND(ISNUMBER(G356),G356&gt;0,ISNUMBER(I356)),I356/G356,"")</f>
        <v/>
      </c>
      <c r="M356" s="10" t="s">
        <v>105</v>
      </c>
      <c r="N356" s="10" t="s">
        <v>582</v>
      </c>
      <c r="O356" s="10" t="s">
        <v>107</v>
      </c>
    </row>
    <row r="357" customFormat="false" ht="15" hidden="false" customHeight="false" outlineLevel="0" collapsed="false">
      <c r="A357" s="10" t="n">
        <v>356</v>
      </c>
      <c r="B357" s="10" t="s">
        <v>583</v>
      </c>
      <c r="C357" s="10" t="s">
        <v>522</v>
      </c>
      <c r="D357" s="10" t="s">
        <v>523</v>
      </c>
      <c r="E357" s="10" t="s">
        <v>92</v>
      </c>
      <c r="F357" s="10" t="s">
        <v>136</v>
      </c>
      <c r="G357" s="11" t="n">
        <v>164</v>
      </c>
      <c r="H357" s="11"/>
      <c r="I357" s="11"/>
      <c r="J357" s="11"/>
      <c r="K357" s="10" t="str">
        <f aca="false">IF(ISNUMBER(J357),IF(J357&lt;10,"ультра-НЧ",IF(J357&lt;100,"НЧ",IF(J357&lt;=1000,"СЧ","ВЧ"))),IF(ISNUMBER(I357),IF(I357&lt;10,"ультра-НЧ",IF(I357&lt;100,"НЧ",IF(I357&lt;=1000,"СЧ","ВЧ"))),"нет данных"))</f>
        <v>нет данных</v>
      </c>
      <c r="L357" s="12" t="str">
        <f aca="false">IF(AND(ISNUMBER(G357),G357&gt;0,ISNUMBER(I357)),I357/G357,"")</f>
        <v/>
      </c>
      <c r="M357" s="10" t="s">
        <v>112</v>
      </c>
      <c r="N357" s="10" t="s">
        <v>583</v>
      </c>
      <c r="O357" s="10"/>
    </row>
    <row r="358" customFormat="false" ht="15" hidden="false" customHeight="false" outlineLevel="0" collapsed="false">
      <c r="A358" s="10" t="n">
        <v>357</v>
      </c>
      <c r="B358" s="10" t="s">
        <v>584</v>
      </c>
      <c r="C358" s="10" t="s">
        <v>522</v>
      </c>
      <c r="D358" s="10" t="s">
        <v>523</v>
      </c>
      <c r="E358" s="10" t="s">
        <v>92</v>
      </c>
      <c r="F358" s="10" t="s">
        <v>136</v>
      </c>
      <c r="G358" s="11" t="n">
        <v>159</v>
      </c>
      <c r="H358" s="11"/>
      <c r="I358" s="11"/>
      <c r="J358" s="11"/>
      <c r="K358" s="10" t="str">
        <f aca="false">IF(ISNUMBER(J358),IF(J358&lt;10,"ультра-НЧ",IF(J358&lt;100,"НЧ",IF(J358&lt;=1000,"СЧ","ВЧ"))),IF(ISNUMBER(I358),IF(I358&lt;10,"ультра-НЧ",IF(I358&lt;100,"НЧ",IF(I358&lt;=1000,"СЧ","ВЧ"))),"нет данных"))</f>
        <v>нет данных</v>
      </c>
      <c r="L358" s="12" t="str">
        <f aca="false">IF(AND(ISNUMBER(G358),G358&gt;0,ISNUMBER(I358)),I358/G358,"")</f>
        <v/>
      </c>
      <c r="M358" s="10" t="s">
        <v>105</v>
      </c>
      <c r="N358" s="10" t="s">
        <v>584</v>
      </c>
      <c r="O358" s="10" t="s">
        <v>107</v>
      </c>
    </row>
    <row r="359" customFormat="false" ht="15" hidden="false" customHeight="false" outlineLevel="0" collapsed="false">
      <c r="A359" s="10" t="n">
        <v>358</v>
      </c>
      <c r="B359" s="10" t="s">
        <v>585</v>
      </c>
      <c r="C359" s="10" t="s">
        <v>522</v>
      </c>
      <c r="D359" s="10" t="s">
        <v>523</v>
      </c>
      <c r="E359" s="10" t="s">
        <v>92</v>
      </c>
      <c r="F359" s="10" t="s">
        <v>136</v>
      </c>
      <c r="G359" s="11" t="n">
        <v>149</v>
      </c>
      <c r="H359" s="11"/>
      <c r="I359" s="11"/>
      <c r="J359" s="11"/>
      <c r="K359" s="10" t="str">
        <f aca="false">IF(ISNUMBER(J359),IF(J359&lt;10,"ультра-НЧ",IF(J359&lt;100,"НЧ",IF(J359&lt;=1000,"СЧ","ВЧ"))),IF(ISNUMBER(I359),IF(I359&lt;10,"ультра-НЧ",IF(I359&lt;100,"НЧ",IF(I359&lt;=1000,"СЧ","ВЧ"))),"нет данных"))</f>
        <v>нет данных</v>
      </c>
      <c r="L359" s="12" t="str">
        <f aca="false">IF(AND(ISNUMBER(G359),G359&gt;0,ISNUMBER(I359)),I359/G359,"")</f>
        <v/>
      </c>
      <c r="M359" s="10" t="s">
        <v>105</v>
      </c>
      <c r="N359" s="10" t="s">
        <v>586</v>
      </c>
      <c r="O359" s="10" t="s">
        <v>107</v>
      </c>
    </row>
    <row r="360" customFormat="false" ht="15" hidden="false" customHeight="false" outlineLevel="0" collapsed="false">
      <c r="A360" s="10" t="n">
        <v>359</v>
      </c>
      <c r="B360" s="10" t="s">
        <v>587</v>
      </c>
      <c r="C360" s="10" t="s">
        <v>522</v>
      </c>
      <c r="D360" s="10" t="s">
        <v>523</v>
      </c>
      <c r="E360" s="10" t="s">
        <v>92</v>
      </c>
      <c r="F360" s="10" t="s">
        <v>136</v>
      </c>
      <c r="G360" s="11" t="n">
        <v>146</v>
      </c>
      <c r="H360" s="11"/>
      <c r="I360" s="11"/>
      <c r="J360" s="11"/>
      <c r="K360" s="10" t="str">
        <f aca="false">IF(ISNUMBER(J360),IF(J360&lt;10,"ультра-НЧ",IF(J360&lt;100,"НЧ",IF(J360&lt;=1000,"СЧ","ВЧ"))),IF(ISNUMBER(I360),IF(I360&lt;10,"ультра-НЧ",IF(I360&lt;100,"НЧ",IF(I360&lt;=1000,"СЧ","ВЧ"))),"нет данных"))</f>
        <v>нет данных</v>
      </c>
      <c r="L360" s="12" t="str">
        <f aca="false">IF(AND(ISNUMBER(G360),G360&gt;0,ISNUMBER(I360)),I360/G360,"")</f>
        <v/>
      </c>
      <c r="M360" s="10" t="s">
        <v>105</v>
      </c>
      <c r="N360" s="10" t="s">
        <v>587</v>
      </c>
      <c r="O360" s="10" t="s">
        <v>107</v>
      </c>
    </row>
    <row r="361" customFormat="false" ht="15" hidden="false" customHeight="false" outlineLevel="0" collapsed="false">
      <c r="A361" s="10" t="n">
        <v>360</v>
      </c>
      <c r="B361" s="10" t="s">
        <v>588</v>
      </c>
      <c r="C361" s="10" t="s">
        <v>522</v>
      </c>
      <c r="D361" s="10" t="s">
        <v>523</v>
      </c>
      <c r="E361" s="10" t="s">
        <v>92</v>
      </c>
      <c r="F361" s="10" t="s">
        <v>136</v>
      </c>
      <c r="G361" s="11" t="n">
        <v>143</v>
      </c>
      <c r="H361" s="11"/>
      <c r="I361" s="11"/>
      <c r="J361" s="11"/>
      <c r="K361" s="10" t="str">
        <f aca="false">IF(ISNUMBER(J361),IF(J361&lt;10,"ультра-НЧ",IF(J361&lt;100,"НЧ",IF(J361&lt;=1000,"СЧ","ВЧ"))),IF(ISNUMBER(I361),IF(I361&lt;10,"ультра-НЧ",IF(I361&lt;100,"НЧ",IF(I361&lt;=1000,"СЧ","ВЧ"))),"нет данных"))</f>
        <v>нет данных</v>
      </c>
      <c r="L361" s="12" t="str">
        <f aca="false">IF(AND(ISNUMBER(G361),G361&gt;0,ISNUMBER(I361)),I361/G361,"")</f>
        <v/>
      </c>
      <c r="M361" s="10" t="s">
        <v>105</v>
      </c>
      <c r="N361" s="10" t="s">
        <v>588</v>
      </c>
      <c r="O361" s="10" t="s">
        <v>107</v>
      </c>
    </row>
    <row r="362" customFormat="false" ht="15" hidden="false" customHeight="false" outlineLevel="0" collapsed="false">
      <c r="A362" s="10" t="n">
        <v>361</v>
      </c>
      <c r="B362" s="10" t="s">
        <v>589</v>
      </c>
      <c r="C362" s="10" t="s">
        <v>522</v>
      </c>
      <c r="D362" s="10" t="s">
        <v>523</v>
      </c>
      <c r="E362" s="10" t="s">
        <v>92</v>
      </c>
      <c r="F362" s="10" t="s">
        <v>136</v>
      </c>
      <c r="G362" s="11" t="n">
        <v>142</v>
      </c>
      <c r="H362" s="11"/>
      <c r="I362" s="11"/>
      <c r="J362" s="11"/>
      <c r="K362" s="10" t="str">
        <f aca="false">IF(ISNUMBER(J362),IF(J362&lt;10,"ультра-НЧ",IF(J362&lt;100,"НЧ",IF(J362&lt;=1000,"СЧ","ВЧ"))),IF(ISNUMBER(I362),IF(I362&lt;10,"ультра-НЧ",IF(I362&lt;100,"НЧ",IF(I362&lt;=1000,"СЧ","ВЧ"))),"нет данных"))</f>
        <v>нет данных</v>
      </c>
      <c r="L362" s="12" t="str">
        <f aca="false">IF(AND(ISNUMBER(G362),G362&gt;0,ISNUMBER(I362)),I362/G362,"")</f>
        <v/>
      </c>
      <c r="M362" s="10" t="s">
        <v>105</v>
      </c>
      <c r="N362" s="10" t="s">
        <v>590</v>
      </c>
      <c r="O362" s="10" t="s">
        <v>107</v>
      </c>
    </row>
    <row r="363" customFormat="false" ht="15" hidden="false" customHeight="false" outlineLevel="0" collapsed="false">
      <c r="A363" s="10" t="n">
        <v>362</v>
      </c>
      <c r="B363" s="10" t="s">
        <v>591</v>
      </c>
      <c r="C363" s="10" t="s">
        <v>522</v>
      </c>
      <c r="D363" s="10" t="s">
        <v>523</v>
      </c>
      <c r="E363" s="10" t="s">
        <v>92</v>
      </c>
      <c r="F363" s="10" t="s">
        <v>136</v>
      </c>
      <c r="G363" s="11" t="n">
        <v>130</v>
      </c>
      <c r="H363" s="11"/>
      <c r="I363" s="11"/>
      <c r="J363" s="11"/>
      <c r="K363" s="10" t="str">
        <f aca="false">IF(ISNUMBER(J363),IF(J363&lt;10,"ультра-НЧ",IF(J363&lt;100,"НЧ",IF(J363&lt;=1000,"СЧ","ВЧ"))),IF(ISNUMBER(I363),IF(I363&lt;10,"ультра-НЧ",IF(I363&lt;100,"НЧ",IF(I363&lt;=1000,"СЧ","ВЧ"))),"нет данных"))</f>
        <v>нет данных</v>
      </c>
      <c r="L363" s="12" t="str">
        <f aca="false">IF(AND(ISNUMBER(G363),G363&gt;0,ISNUMBER(I363)),I363/G363,"")</f>
        <v/>
      </c>
      <c r="M363" s="10" t="s">
        <v>105</v>
      </c>
      <c r="N363" s="10" t="s">
        <v>591</v>
      </c>
      <c r="O363" s="10" t="s">
        <v>107</v>
      </c>
    </row>
    <row r="364" customFormat="false" ht="15" hidden="false" customHeight="false" outlineLevel="0" collapsed="false">
      <c r="A364" s="10" t="n">
        <v>363</v>
      </c>
      <c r="B364" s="10" t="s">
        <v>592</v>
      </c>
      <c r="C364" s="10" t="s">
        <v>522</v>
      </c>
      <c r="D364" s="10" t="s">
        <v>523</v>
      </c>
      <c r="E364" s="10" t="s">
        <v>92</v>
      </c>
      <c r="F364" s="10" t="s">
        <v>136</v>
      </c>
      <c r="G364" s="11" t="n">
        <v>123</v>
      </c>
      <c r="H364" s="11"/>
      <c r="I364" s="11"/>
      <c r="J364" s="11"/>
      <c r="K364" s="10" t="str">
        <f aca="false">IF(ISNUMBER(J364),IF(J364&lt;10,"ультра-НЧ",IF(J364&lt;100,"НЧ",IF(J364&lt;=1000,"СЧ","ВЧ"))),IF(ISNUMBER(I364),IF(I364&lt;10,"ультра-НЧ",IF(I364&lt;100,"НЧ",IF(I364&lt;=1000,"СЧ","ВЧ"))),"нет данных"))</f>
        <v>нет данных</v>
      </c>
      <c r="L364" s="12" t="str">
        <f aca="false">IF(AND(ISNUMBER(G364),G364&gt;0,ISNUMBER(I364)),I364/G364,"")</f>
        <v/>
      </c>
      <c r="M364" s="10" t="s">
        <v>105</v>
      </c>
      <c r="N364" s="10" t="s">
        <v>592</v>
      </c>
      <c r="O364" s="10" t="s">
        <v>107</v>
      </c>
    </row>
    <row r="365" customFormat="false" ht="15" hidden="false" customHeight="false" outlineLevel="0" collapsed="false">
      <c r="A365" s="10" t="n">
        <v>364</v>
      </c>
      <c r="B365" s="10" t="s">
        <v>593</v>
      </c>
      <c r="C365" s="10" t="s">
        <v>522</v>
      </c>
      <c r="D365" s="10" t="s">
        <v>523</v>
      </c>
      <c r="E365" s="10" t="s">
        <v>92</v>
      </c>
      <c r="F365" s="10" t="s">
        <v>136</v>
      </c>
      <c r="G365" s="11" t="n">
        <v>122</v>
      </c>
      <c r="H365" s="11"/>
      <c r="I365" s="11"/>
      <c r="J365" s="11"/>
      <c r="K365" s="10" t="str">
        <f aca="false">IF(ISNUMBER(J365),IF(J365&lt;10,"ультра-НЧ",IF(J365&lt;100,"НЧ",IF(J365&lt;=1000,"СЧ","ВЧ"))),IF(ISNUMBER(I365),IF(I365&lt;10,"ультра-НЧ",IF(I365&lt;100,"НЧ",IF(I365&lt;=1000,"СЧ","ВЧ"))),"нет данных"))</f>
        <v>нет данных</v>
      </c>
      <c r="L365" s="12" t="str">
        <f aca="false">IF(AND(ISNUMBER(G365),G365&gt;0,ISNUMBER(I365)),I365/G365,"")</f>
        <v/>
      </c>
      <c r="M365" s="10" t="s">
        <v>105</v>
      </c>
      <c r="N365" s="10" t="s">
        <v>594</v>
      </c>
      <c r="O365" s="10" t="s">
        <v>107</v>
      </c>
    </row>
    <row r="366" customFormat="false" ht="15" hidden="false" customHeight="false" outlineLevel="0" collapsed="false">
      <c r="A366" s="10" t="n">
        <v>365</v>
      </c>
      <c r="B366" s="10" t="s">
        <v>595</v>
      </c>
      <c r="C366" s="10" t="s">
        <v>522</v>
      </c>
      <c r="D366" s="10" t="s">
        <v>523</v>
      </c>
      <c r="E366" s="10" t="s">
        <v>92</v>
      </c>
      <c r="F366" s="10" t="s">
        <v>136</v>
      </c>
      <c r="G366" s="11" t="n">
        <v>120</v>
      </c>
      <c r="H366" s="11"/>
      <c r="I366" s="11"/>
      <c r="J366" s="11"/>
      <c r="K366" s="10" t="str">
        <f aca="false">IF(ISNUMBER(J366),IF(J366&lt;10,"ультра-НЧ",IF(J366&lt;100,"НЧ",IF(J366&lt;=1000,"СЧ","ВЧ"))),IF(ISNUMBER(I366),IF(I366&lt;10,"ультра-НЧ",IF(I366&lt;100,"НЧ",IF(I366&lt;=1000,"СЧ","ВЧ"))),"нет данных"))</f>
        <v>нет данных</v>
      </c>
      <c r="L366" s="12" t="str">
        <f aca="false">IF(AND(ISNUMBER(G366),G366&gt;0,ISNUMBER(I366)),I366/G366,"")</f>
        <v/>
      </c>
      <c r="M366" s="10" t="s">
        <v>105</v>
      </c>
      <c r="N366" s="10" t="s">
        <v>595</v>
      </c>
      <c r="O366" s="10" t="s">
        <v>107</v>
      </c>
    </row>
    <row r="367" customFormat="false" ht="15" hidden="false" customHeight="false" outlineLevel="0" collapsed="false">
      <c r="A367" s="10" t="n">
        <v>366</v>
      </c>
      <c r="B367" s="10" t="s">
        <v>596</v>
      </c>
      <c r="C367" s="10" t="s">
        <v>522</v>
      </c>
      <c r="D367" s="10" t="s">
        <v>523</v>
      </c>
      <c r="E367" s="10" t="s">
        <v>92</v>
      </c>
      <c r="F367" s="10" t="s">
        <v>136</v>
      </c>
      <c r="G367" s="11" t="n">
        <v>120</v>
      </c>
      <c r="H367" s="11"/>
      <c r="I367" s="11"/>
      <c r="J367" s="11"/>
      <c r="K367" s="10" t="str">
        <f aca="false">IF(ISNUMBER(J367),IF(J367&lt;10,"ультра-НЧ",IF(J367&lt;100,"НЧ",IF(J367&lt;=1000,"СЧ","ВЧ"))),IF(ISNUMBER(I367),IF(I367&lt;10,"ультра-НЧ",IF(I367&lt;100,"НЧ",IF(I367&lt;=1000,"СЧ","ВЧ"))),"нет данных"))</f>
        <v>нет данных</v>
      </c>
      <c r="L367" s="12" t="str">
        <f aca="false">IF(AND(ISNUMBER(G367),G367&gt;0,ISNUMBER(I367)),I367/G367,"")</f>
        <v/>
      </c>
      <c r="M367" s="10" t="s">
        <v>105</v>
      </c>
      <c r="N367" s="10" t="s">
        <v>596</v>
      </c>
      <c r="O367" s="10" t="s">
        <v>107</v>
      </c>
    </row>
    <row r="368" customFormat="false" ht="15" hidden="false" customHeight="false" outlineLevel="0" collapsed="false">
      <c r="A368" s="10" t="n">
        <v>367</v>
      </c>
      <c r="B368" s="10" t="s">
        <v>597</v>
      </c>
      <c r="C368" s="10" t="s">
        <v>522</v>
      </c>
      <c r="D368" s="10" t="s">
        <v>523</v>
      </c>
      <c r="E368" s="10" t="s">
        <v>92</v>
      </c>
      <c r="F368" s="10" t="s">
        <v>136</v>
      </c>
      <c r="G368" s="11" t="n">
        <v>118</v>
      </c>
      <c r="H368" s="11"/>
      <c r="I368" s="11"/>
      <c r="J368" s="11"/>
      <c r="K368" s="10" t="str">
        <f aca="false">IF(ISNUMBER(J368),IF(J368&lt;10,"ультра-НЧ",IF(J368&lt;100,"НЧ",IF(J368&lt;=1000,"СЧ","ВЧ"))),IF(ISNUMBER(I368),IF(I368&lt;10,"ультра-НЧ",IF(I368&lt;100,"НЧ",IF(I368&lt;=1000,"СЧ","ВЧ"))),"нет данных"))</f>
        <v>нет данных</v>
      </c>
      <c r="L368" s="12" t="str">
        <f aca="false">IF(AND(ISNUMBER(G368),G368&gt;0,ISNUMBER(I368)),I368/G368,"")</f>
        <v/>
      </c>
      <c r="M368" s="10" t="s">
        <v>105</v>
      </c>
      <c r="N368" s="10" t="s">
        <v>597</v>
      </c>
      <c r="O368" s="10" t="s">
        <v>107</v>
      </c>
    </row>
    <row r="369" customFormat="false" ht="15" hidden="false" customHeight="false" outlineLevel="0" collapsed="false">
      <c r="A369" s="10" t="n">
        <v>368</v>
      </c>
      <c r="B369" s="10" t="s">
        <v>598</v>
      </c>
      <c r="C369" s="10" t="s">
        <v>522</v>
      </c>
      <c r="D369" s="10" t="s">
        <v>523</v>
      </c>
      <c r="E369" s="10" t="s">
        <v>92</v>
      </c>
      <c r="F369" s="10" t="s">
        <v>136</v>
      </c>
      <c r="G369" s="11" t="n">
        <v>117</v>
      </c>
      <c r="H369" s="11"/>
      <c r="I369" s="11"/>
      <c r="J369" s="11"/>
      <c r="K369" s="10" t="str">
        <f aca="false">IF(ISNUMBER(J369),IF(J369&lt;10,"ультра-НЧ",IF(J369&lt;100,"НЧ",IF(J369&lt;=1000,"СЧ","ВЧ"))),IF(ISNUMBER(I369),IF(I369&lt;10,"ультра-НЧ",IF(I369&lt;100,"НЧ",IF(I369&lt;=1000,"СЧ","ВЧ"))),"нет данных"))</f>
        <v>нет данных</v>
      </c>
      <c r="L369" s="12" t="str">
        <f aca="false">IF(AND(ISNUMBER(G369),G369&gt;0,ISNUMBER(I369)),I369/G369,"")</f>
        <v/>
      </c>
      <c r="M369" s="10" t="s">
        <v>105</v>
      </c>
      <c r="N369" s="10" t="s">
        <v>598</v>
      </c>
      <c r="O369" s="10" t="s">
        <v>107</v>
      </c>
    </row>
    <row r="370" customFormat="false" ht="15" hidden="false" customHeight="false" outlineLevel="0" collapsed="false">
      <c r="A370" s="10" t="n">
        <v>369</v>
      </c>
      <c r="B370" s="10" t="s">
        <v>599</v>
      </c>
      <c r="C370" s="10" t="s">
        <v>522</v>
      </c>
      <c r="D370" s="10" t="s">
        <v>523</v>
      </c>
      <c r="E370" s="10" t="s">
        <v>92</v>
      </c>
      <c r="F370" s="10" t="s">
        <v>136</v>
      </c>
      <c r="G370" s="11" t="n">
        <v>116</v>
      </c>
      <c r="H370" s="11"/>
      <c r="I370" s="11"/>
      <c r="J370" s="11"/>
      <c r="K370" s="10" t="str">
        <f aca="false">IF(ISNUMBER(J370),IF(J370&lt;10,"ультра-НЧ",IF(J370&lt;100,"НЧ",IF(J370&lt;=1000,"СЧ","ВЧ"))),IF(ISNUMBER(I370),IF(I370&lt;10,"ультра-НЧ",IF(I370&lt;100,"НЧ",IF(I370&lt;=1000,"СЧ","ВЧ"))),"нет данных"))</f>
        <v>нет данных</v>
      </c>
      <c r="L370" s="12" t="str">
        <f aca="false">IF(AND(ISNUMBER(G370),G370&gt;0,ISNUMBER(I370)),I370/G370,"")</f>
        <v/>
      </c>
      <c r="M370" s="10" t="s">
        <v>105</v>
      </c>
      <c r="N370" s="10" t="s">
        <v>599</v>
      </c>
      <c r="O370" s="10" t="s">
        <v>107</v>
      </c>
    </row>
    <row r="371" customFormat="false" ht="15" hidden="false" customHeight="false" outlineLevel="0" collapsed="false">
      <c r="A371" s="10" t="n">
        <v>370</v>
      </c>
      <c r="B371" s="10" t="s">
        <v>600</v>
      </c>
      <c r="C371" s="10" t="s">
        <v>522</v>
      </c>
      <c r="D371" s="10" t="s">
        <v>523</v>
      </c>
      <c r="E371" s="10" t="s">
        <v>92</v>
      </c>
      <c r="F371" s="10" t="s">
        <v>136</v>
      </c>
      <c r="G371" s="11" t="n">
        <v>112</v>
      </c>
      <c r="H371" s="11"/>
      <c r="I371" s="11"/>
      <c r="J371" s="11"/>
      <c r="K371" s="10" t="str">
        <f aca="false">IF(ISNUMBER(J371),IF(J371&lt;10,"ультра-НЧ",IF(J371&lt;100,"НЧ",IF(J371&lt;=1000,"СЧ","ВЧ"))),IF(ISNUMBER(I371),IF(I371&lt;10,"ультра-НЧ",IF(I371&lt;100,"НЧ",IF(I371&lt;=1000,"СЧ","ВЧ"))),"нет данных"))</f>
        <v>нет данных</v>
      </c>
      <c r="L371" s="12" t="str">
        <f aca="false">IF(AND(ISNUMBER(G371),G371&gt;0,ISNUMBER(I371)),I371/G371,"")</f>
        <v/>
      </c>
      <c r="M371" s="10" t="s">
        <v>105</v>
      </c>
      <c r="N371" s="10" t="s">
        <v>601</v>
      </c>
      <c r="O371" s="10" t="s">
        <v>107</v>
      </c>
    </row>
    <row r="372" customFormat="false" ht="15" hidden="false" customHeight="false" outlineLevel="0" collapsed="false">
      <c r="A372" s="10" t="n">
        <v>371</v>
      </c>
      <c r="B372" s="10" t="s">
        <v>602</v>
      </c>
      <c r="C372" s="10" t="s">
        <v>522</v>
      </c>
      <c r="D372" s="10" t="s">
        <v>523</v>
      </c>
      <c r="E372" s="10" t="s">
        <v>92</v>
      </c>
      <c r="F372" s="10" t="s">
        <v>136</v>
      </c>
      <c r="G372" s="11" t="n">
        <v>110</v>
      </c>
      <c r="H372" s="11"/>
      <c r="I372" s="11"/>
      <c r="J372" s="11"/>
      <c r="K372" s="10" t="str">
        <f aca="false">IF(ISNUMBER(J372),IF(J372&lt;10,"ультра-НЧ",IF(J372&lt;100,"НЧ",IF(J372&lt;=1000,"СЧ","ВЧ"))),IF(ISNUMBER(I372),IF(I372&lt;10,"ультра-НЧ",IF(I372&lt;100,"НЧ",IF(I372&lt;=1000,"СЧ","ВЧ"))),"нет данных"))</f>
        <v>нет данных</v>
      </c>
      <c r="L372" s="12" t="str">
        <f aca="false">IF(AND(ISNUMBER(G372),G372&gt;0,ISNUMBER(I372)),I372/G372,"")</f>
        <v/>
      </c>
      <c r="M372" s="10" t="s">
        <v>105</v>
      </c>
      <c r="N372" s="10" t="s">
        <v>602</v>
      </c>
      <c r="O372" s="10" t="s">
        <v>107</v>
      </c>
    </row>
    <row r="373" customFormat="false" ht="15" hidden="false" customHeight="false" outlineLevel="0" collapsed="false">
      <c r="A373" s="10" t="n">
        <v>372</v>
      </c>
      <c r="B373" s="10" t="s">
        <v>603</v>
      </c>
      <c r="C373" s="10" t="s">
        <v>522</v>
      </c>
      <c r="D373" s="10" t="s">
        <v>523</v>
      </c>
      <c r="E373" s="10" t="s">
        <v>92</v>
      </c>
      <c r="F373" s="10" t="s">
        <v>136</v>
      </c>
      <c r="G373" s="11" t="n">
        <v>110</v>
      </c>
      <c r="H373" s="11"/>
      <c r="I373" s="11"/>
      <c r="J373" s="11"/>
      <c r="K373" s="10" t="str">
        <f aca="false">IF(ISNUMBER(J373),IF(J373&lt;10,"ультра-НЧ",IF(J373&lt;100,"НЧ",IF(J373&lt;=1000,"СЧ","ВЧ"))),IF(ISNUMBER(I373),IF(I373&lt;10,"ультра-НЧ",IF(I373&lt;100,"НЧ",IF(I373&lt;=1000,"СЧ","ВЧ"))),"нет данных"))</f>
        <v>нет данных</v>
      </c>
      <c r="L373" s="12" t="str">
        <f aca="false">IF(AND(ISNUMBER(G373),G373&gt;0,ISNUMBER(I373)),I373/G373,"")</f>
        <v/>
      </c>
      <c r="M373" s="10" t="s">
        <v>105</v>
      </c>
      <c r="N373" s="10" t="s">
        <v>603</v>
      </c>
      <c r="O373" s="10" t="s">
        <v>107</v>
      </c>
    </row>
    <row r="374" customFormat="false" ht="15" hidden="false" customHeight="false" outlineLevel="0" collapsed="false">
      <c r="A374" s="10" t="n">
        <v>373</v>
      </c>
      <c r="B374" s="10" t="s">
        <v>604</v>
      </c>
      <c r="C374" s="10" t="s">
        <v>522</v>
      </c>
      <c r="D374" s="10" t="s">
        <v>523</v>
      </c>
      <c r="E374" s="10" t="s">
        <v>92</v>
      </c>
      <c r="F374" s="10" t="s">
        <v>136</v>
      </c>
      <c r="G374" s="11" t="n">
        <v>109</v>
      </c>
      <c r="H374" s="11"/>
      <c r="I374" s="11"/>
      <c r="J374" s="11"/>
      <c r="K374" s="10" t="str">
        <f aca="false">IF(ISNUMBER(J374),IF(J374&lt;10,"ультра-НЧ",IF(J374&lt;100,"НЧ",IF(J374&lt;=1000,"СЧ","ВЧ"))),IF(ISNUMBER(I374),IF(I374&lt;10,"ультра-НЧ",IF(I374&lt;100,"НЧ",IF(I374&lt;=1000,"СЧ","ВЧ"))),"нет данных"))</f>
        <v>нет данных</v>
      </c>
      <c r="L374" s="12" t="str">
        <f aca="false">IF(AND(ISNUMBER(G374),G374&gt;0,ISNUMBER(I374)),I374/G374,"")</f>
        <v/>
      </c>
      <c r="M374" s="10" t="s">
        <v>105</v>
      </c>
      <c r="N374" s="10" t="s">
        <v>604</v>
      </c>
      <c r="O374" s="10" t="s">
        <v>107</v>
      </c>
    </row>
    <row r="375" customFormat="false" ht="15" hidden="false" customHeight="false" outlineLevel="0" collapsed="false">
      <c r="A375" s="10" t="n">
        <v>374</v>
      </c>
      <c r="B375" s="10" t="s">
        <v>605</v>
      </c>
      <c r="C375" s="10" t="s">
        <v>522</v>
      </c>
      <c r="D375" s="10" t="s">
        <v>523</v>
      </c>
      <c r="E375" s="10" t="s">
        <v>92</v>
      </c>
      <c r="F375" s="10" t="s">
        <v>136</v>
      </c>
      <c r="G375" s="11" t="n">
        <v>109</v>
      </c>
      <c r="H375" s="11"/>
      <c r="I375" s="11"/>
      <c r="J375" s="11"/>
      <c r="K375" s="10" t="str">
        <f aca="false">IF(ISNUMBER(J375),IF(J375&lt;10,"ультра-НЧ",IF(J375&lt;100,"НЧ",IF(J375&lt;=1000,"СЧ","ВЧ"))),IF(ISNUMBER(I375),IF(I375&lt;10,"ультра-НЧ",IF(I375&lt;100,"НЧ",IF(I375&lt;=1000,"СЧ","ВЧ"))),"нет данных"))</f>
        <v>нет данных</v>
      </c>
      <c r="L375" s="12" t="str">
        <f aca="false">IF(AND(ISNUMBER(G375),G375&gt;0,ISNUMBER(I375)),I375/G375,"")</f>
        <v/>
      </c>
      <c r="M375" s="10" t="s">
        <v>105</v>
      </c>
      <c r="N375" s="10" t="s">
        <v>606</v>
      </c>
      <c r="O375" s="10" t="s">
        <v>107</v>
      </c>
    </row>
    <row r="376" customFormat="false" ht="15" hidden="false" customHeight="false" outlineLevel="0" collapsed="false">
      <c r="A376" s="10" t="n">
        <v>375</v>
      </c>
      <c r="B376" s="10" t="s">
        <v>607</v>
      </c>
      <c r="C376" s="10" t="s">
        <v>522</v>
      </c>
      <c r="D376" s="10" t="s">
        <v>523</v>
      </c>
      <c r="E376" s="10" t="s">
        <v>92</v>
      </c>
      <c r="F376" s="10" t="s">
        <v>136</v>
      </c>
      <c r="G376" s="11" t="n">
        <v>108</v>
      </c>
      <c r="H376" s="11"/>
      <c r="I376" s="11"/>
      <c r="J376" s="11"/>
      <c r="K376" s="10" t="str">
        <f aca="false">IF(ISNUMBER(J376),IF(J376&lt;10,"ультра-НЧ",IF(J376&lt;100,"НЧ",IF(J376&lt;=1000,"СЧ","ВЧ"))),IF(ISNUMBER(I376),IF(I376&lt;10,"ультра-НЧ",IF(I376&lt;100,"НЧ",IF(I376&lt;=1000,"СЧ","ВЧ"))),"нет данных"))</f>
        <v>нет данных</v>
      </c>
      <c r="L376" s="12" t="str">
        <f aca="false">IF(AND(ISNUMBER(G376),G376&gt;0,ISNUMBER(I376)),I376/G376,"")</f>
        <v/>
      </c>
      <c r="M376" s="10" t="s">
        <v>105</v>
      </c>
      <c r="N376" s="10" t="s">
        <v>608</v>
      </c>
      <c r="O376" s="10" t="s">
        <v>107</v>
      </c>
    </row>
    <row r="377" customFormat="false" ht="15" hidden="false" customHeight="false" outlineLevel="0" collapsed="false">
      <c r="A377" s="10" t="n">
        <v>376</v>
      </c>
      <c r="B377" s="10" t="s">
        <v>609</v>
      </c>
      <c r="C377" s="10" t="s">
        <v>522</v>
      </c>
      <c r="D377" s="10" t="s">
        <v>523</v>
      </c>
      <c r="E377" s="10" t="s">
        <v>92</v>
      </c>
      <c r="F377" s="10" t="s">
        <v>136</v>
      </c>
      <c r="G377" s="11" t="n">
        <v>108</v>
      </c>
      <c r="H377" s="11"/>
      <c r="I377" s="11"/>
      <c r="J377" s="11"/>
      <c r="K377" s="10" t="str">
        <f aca="false">IF(ISNUMBER(J377),IF(J377&lt;10,"ультра-НЧ",IF(J377&lt;100,"НЧ",IF(J377&lt;=1000,"СЧ","ВЧ"))),IF(ISNUMBER(I377),IF(I377&lt;10,"ультра-НЧ",IF(I377&lt;100,"НЧ",IF(I377&lt;=1000,"СЧ","ВЧ"))),"нет данных"))</f>
        <v>нет данных</v>
      </c>
      <c r="L377" s="12" t="str">
        <f aca="false">IF(AND(ISNUMBER(G377),G377&gt;0,ISNUMBER(I377)),I377/G377,"")</f>
        <v/>
      </c>
      <c r="M377" s="10" t="s">
        <v>105</v>
      </c>
      <c r="N377" s="10" t="s">
        <v>609</v>
      </c>
      <c r="O377" s="10" t="s">
        <v>107</v>
      </c>
    </row>
    <row r="378" customFormat="false" ht="15" hidden="false" customHeight="false" outlineLevel="0" collapsed="false">
      <c r="A378" s="10" t="n">
        <v>377</v>
      </c>
      <c r="B378" s="10" t="s">
        <v>610</v>
      </c>
      <c r="C378" s="10" t="s">
        <v>522</v>
      </c>
      <c r="D378" s="10" t="s">
        <v>523</v>
      </c>
      <c r="E378" s="10" t="s">
        <v>92</v>
      </c>
      <c r="F378" s="10" t="s">
        <v>136</v>
      </c>
      <c r="G378" s="11" t="n">
        <v>104</v>
      </c>
      <c r="H378" s="11"/>
      <c r="I378" s="11"/>
      <c r="J378" s="11"/>
      <c r="K378" s="10" t="str">
        <f aca="false">IF(ISNUMBER(J378),IF(J378&lt;10,"ультра-НЧ",IF(J378&lt;100,"НЧ",IF(J378&lt;=1000,"СЧ","ВЧ"))),IF(ISNUMBER(I378),IF(I378&lt;10,"ультра-НЧ",IF(I378&lt;100,"НЧ",IF(I378&lt;=1000,"СЧ","ВЧ"))),"нет данных"))</f>
        <v>нет данных</v>
      </c>
      <c r="L378" s="12" t="str">
        <f aca="false">IF(AND(ISNUMBER(G378),G378&gt;0,ISNUMBER(I378)),I378/G378,"")</f>
        <v/>
      </c>
      <c r="M378" s="10" t="s">
        <v>105</v>
      </c>
      <c r="N378" s="10" t="s">
        <v>610</v>
      </c>
      <c r="O378" s="10" t="s">
        <v>107</v>
      </c>
    </row>
    <row r="379" customFormat="false" ht="15" hidden="false" customHeight="false" outlineLevel="0" collapsed="false">
      <c r="A379" s="10" t="n">
        <v>378</v>
      </c>
      <c r="B379" s="10" t="s">
        <v>611</v>
      </c>
      <c r="C379" s="10" t="s">
        <v>522</v>
      </c>
      <c r="D379" s="10" t="s">
        <v>523</v>
      </c>
      <c r="E379" s="10" t="s">
        <v>92</v>
      </c>
      <c r="F379" s="10" t="s">
        <v>136</v>
      </c>
      <c r="G379" s="11" t="n">
        <v>101</v>
      </c>
      <c r="H379" s="11"/>
      <c r="I379" s="11"/>
      <c r="J379" s="11"/>
      <c r="K379" s="10" t="str">
        <f aca="false">IF(ISNUMBER(J379),IF(J379&lt;10,"ультра-НЧ",IF(J379&lt;100,"НЧ",IF(J379&lt;=1000,"СЧ","ВЧ"))),IF(ISNUMBER(I379),IF(I379&lt;10,"ультра-НЧ",IF(I379&lt;100,"НЧ",IF(I379&lt;=1000,"СЧ","ВЧ"))),"нет данных"))</f>
        <v>нет данных</v>
      </c>
      <c r="L379" s="12" t="str">
        <f aca="false">IF(AND(ISNUMBER(G379),G379&gt;0,ISNUMBER(I379)),I379/G379,"")</f>
        <v/>
      </c>
      <c r="M379" s="10" t="s">
        <v>105</v>
      </c>
      <c r="N379" s="10" t="s">
        <v>611</v>
      </c>
      <c r="O379" s="10" t="s">
        <v>107</v>
      </c>
    </row>
    <row r="380" customFormat="false" ht="15" hidden="false" customHeight="false" outlineLevel="0" collapsed="false">
      <c r="A380" s="10" t="n">
        <v>379</v>
      </c>
      <c r="B380" s="10" t="s">
        <v>612</v>
      </c>
      <c r="C380" s="10" t="s">
        <v>522</v>
      </c>
      <c r="D380" s="10" t="s">
        <v>523</v>
      </c>
      <c r="E380" s="10" t="s">
        <v>92</v>
      </c>
      <c r="F380" s="10" t="s">
        <v>136</v>
      </c>
      <c r="G380" s="11" t="n">
        <v>93</v>
      </c>
      <c r="H380" s="11"/>
      <c r="I380" s="11"/>
      <c r="J380" s="11"/>
      <c r="K380" s="10" t="str">
        <f aca="false">IF(ISNUMBER(J380),IF(J380&lt;10,"ультра-НЧ",IF(J380&lt;100,"НЧ",IF(J380&lt;=1000,"СЧ","ВЧ"))),IF(ISNUMBER(I380),IF(I380&lt;10,"ультра-НЧ",IF(I380&lt;100,"НЧ",IF(I380&lt;=1000,"СЧ","ВЧ"))),"нет данных"))</f>
        <v>нет данных</v>
      </c>
      <c r="L380" s="12" t="str">
        <f aca="false">IF(AND(ISNUMBER(G380),G380&gt;0,ISNUMBER(I380)),I380/G380,"")</f>
        <v/>
      </c>
      <c r="M380" s="10" t="s">
        <v>105</v>
      </c>
      <c r="N380" s="10" t="s">
        <v>612</v>
      </c>
      <c r="O380" s="10" t="s">
        <v>107</v>
      </c>
    </row>
    <row r="381" customFormat="false" ht="15" hidden="false" customHeight="false" outlineLevel="0" collapsed="false">
      <c r="A381" s="10" t="n">
        <v>380</v>
      </c>
      <c r="B381" s="10" t="s">
        <v>613</v>
      </c>
      <c r="C381" s="10" t="s">
        <v>522</v>
      </c>
      <c r="D381" s="10" t="s">
        <v>523</v>
      </c>
      <c r="E381" s="10" t="s">
        <v>92</v>
      </c>
      <c r="F381" s="10" t="s">
        <v>136</v>
      </c>
      <c r="G381" s="11" t="n">
        <v>90</v>
      </c>
      <c r="H381" s="11"/>
      <c r="I381" s="11"/>
      <c r="J381" s="11"/>
      <c r="K381" s="10" t="str">
        <f aca="false">IF(ISNUMBER(J381),IF(J381&lt;10,"ультра-НЧ",IF(J381&lt;100,"НЧ",IF(J381&lt;=1000,"СЧ","ВЧ"))),IF(ISNUMBER(I381),IF(I381&lt;10,"ультра-НЧ",IF(I381&lt;100,"НЧ",IF(I381&lt;=1000,"СЧ","ВЧ"))),"нет данных"))</f>
        <v>нет данных</v>
      </c>
      <c r="L381" s="12" t="str">
        <f aca="false">IF(AND(ISNUMBER(G381),G381&gt;0,ISNUMBER(I381)),I381/G381,"")</f>
        <v/>
      </c>
      <c r="M381" s="10" t="s">
        <v>105</v>
      </c>
      <c r="N381" s="10" t="s">
        <v>613</v>
      </c>
      <c r="O381" s="10" t="s">
        <v>107</v>
      </c>
    </row>
    <row r="382" customFormat="false" ht="15" hidden="false" customHeight="false" outlineLevel="0" collapsed="false">
      <c r="A382" s="10" t="n">
        <v>381</v>
      </c>
      <c r="B382" s="10" t="s">
        <v>614</v>
      </c>
      <c r="C382" s="10" t="s">
        <v>522</v>
      </c>
      <c r="D382" s="10" t="s">
        <v>523</v>
      </c>
      <c r="E382" s="10" t="s">
        <v>92</v>
      </c>
      <c r="F382" s="10" t="s">
        <v>136</v>
      </c>
      <c r="G382" s="11" t="n">
        <v>90</v>
      </c>
      <c r="H382" s="11"/>
      <c r="I382" s="11"/>
      <c r="J382" s="11"/>
      <c r="K382" s="10" t="str">
        <f aca="false">IF(ISNUMBER(J382),IF(J382&lt;10,"ультра-НЧ",IF(J382&lt;100,"НЧ",IF(J382&lt;=1000,"СЧ","ВЧ"))),IF(ISNUMBER(I382),IF(I382&lt;10,"ультра-НЧ",IF(I382&lt;100,"НЧ",IF(I382&lt;=1000,"СЧ","ВЧ"))),"нет данных"))</f>
        <v>нет данных</v>
      </c>
      <c r="L382" s="12" t="str">
        <f aca="false">IF(AND(ISNUMBER(G382),G382&gt;0,ISNUMBER(I382)),I382/G382,"")</f>
        <v/>
      </c>
      <c r="M382" s="10" t="s">
        <v>105</v>
      </c>
      <c r="N382" s="10" t="s">
        <v>615</v>
      </c>
      <c r="O382" s="10" t="s">
        <v>107</v>
      </c>
    </row>
    <row r="383" customFormat="false" ht="15" hidden="false" customHeight="false" outlineLevel="0" collapsed="false">
      <c r="A383" s="10" t="n">
        <v>382</v>
      </c>
      <c r="B383" s="10" t="s">
        <v>616</v>
      </c>
      <c r="C383" s="10" t="s">
        <v>522</v>
      </c>
      <c r="D383" s="10" t="s">
        <v>523</v>
      </c>
      <c r="E383" s="10" t="s">
        <v>92</v>
      </c>
      <c r="F383" s="10" t="s">
        <v>136</v>
      </c>
      <c r="G383" s="11" t="n">
        <v>90</v>
      </c>
      <c r="H383" s="11"/>
      <c r="I383" s="11"/>
      <c r="J383" s="11"/>
      <c r="K383" s="10" t="str">
        <f aca="false">IF(ISNUMBER(J383),IF(J383&lt;10,"ультра-НЧ",IF(J383&lt;100,"НЧ",IF(J383&lt;=1000,"СЧ","ВЧ"))),IF(ISNUMBER(I383),IF(I383&lt;10,"ультра-НЧ",IF(I383&lt;100,"НЧ",IF(I383&lt;=1000,"СЧ","ВЧ"))),"нет данных"))</f>
        <v>нет данных</v>
      </c>
      <c r="L383" s="12" t="str">
        <f aca="false">IF(AND(ISNUMBER(G383),G383&gt;0,ISNUMBER(I383)),I383/G383,"")</f>
        <v/>
      </c>
      <c r="M383" s="10" t="s">
        <v>105</v>
      </c>
      <c r="N383" s="10" t="s">
        <v>616</v>
      </c>
      <c r="O383" s="10" t="s">
        <v>107</v>
      </c>
    </row>
    <row r="384" customFormat="false" ht="15" hidden="false" customHeight="false" outlineLevel="0" collapsed="false">
      <c r="A384" s="10" t="n">
        <v>383</v>
      </c>
      <c r="B384" s="10" t="s">
        <v>617</v>
      </c>
      <c r="C384" s="10" t="s">
        <v>522</v>
      </c>
      <c r="D384" s="10" t="s">
        <v>523</v>
      </c>
      <c r="E384" s="10" t="s">
        <v>92</v>
      </c>
      <c r="F384" s="10" t="s">
        <v>136</v>
      </c>
      <c r="G384" s="11" t="n">
        <v>89</v>
      </c>
      <c r="H384" s="11"/>
      <c r="I384" s="11"/>
      <c r="J384" s="11"/>
      <c r="K384" s="10" t="str">
        <f aca="false">IF(ISNUMBER(J384),IF(J384&lt;10,"ультра-НЧ",IF(J384&lt;100,"НЧ",IF(J384&lt;=1000,"СЧ","ВЧ"))),IF(ISNUMBER(I384),IF(I384&lt;10,"ультра-НЧ",IF(I384&lt;100,"НЧ",IF(I384&lt;=1000,"СЧ","ВЧ"))),"нет данных"))</f>
        <v>нет данных</v>
      </c>
      <c r="L384" s="12" t="str">
        <f aca="false">IF(AND(ISNUMBER(G384),G384&gt;0,ISNUMBER(I384)),I384/G384,"")</f>
        <v/>
      </c>
      <c r="M384" s="10" t="s">
        <v>105</v>
      </c>
      <c r="N384" s="10" t="s">
        <v>618</v>
      </c>
      <c r="O384" s="10" t="s">
        <v>107</v>
      </c>
    </row>
    <row r="385" customFormat="false" ht="15" hidden="false" customHeight="false" outlineLevel="0" collapsed="false">
      <c r="A385" s="10" t="n">
        <v>384</v>
      </c>
      <c r="B385" s="10" t="s">
        <v>619</v>
      </c>
      <c r="C385" s="10" t="s">
        <v>522</v>
      </c>
      <c r="D385" s="10" t="s">
        <v>523</v>
      </c>
      <c r="E385" s="10" t="s">
        <v>92</v>
      </c>
      <c r="F385" s="10" t="s">
        <v>136</v>
      </c>
      <c r="G385" s="11" t="n">
        <v>89</v>
      </c>
      <c r="H385" s="11"/>
      <c r="I385" s="11"/>
      <c r="J385" s="11"/>
      <c r="K385" s="10" t="str">
        <f aca="false">IF(ISNUMBER(J385),IF(J385&lt;10,"ультра-НЧ",IF(J385&lt;100,"НЧ",IF(J385&lt;=1000,"СЧ","ВЧ"))),IF(ISNUMBER(I385),IF(I385&lt;10,"ультра-НЧ",IF(I385&lt;100,"НЧ",IF(I385&lt;=1000,"СЧ","ВЧ"))),"нет данных"))</f>
        <v>нет данных</v>
      </c>
      <c r="L385" s="12" t="str">
        <f aca="false">IF(AND(ISNUMBER(G385),G385&gt;0,ISNUMBER(I385)),I385/G385,"")</f>
        <v/>
      </c>
      <c r="M385" s="10" t="s">
        <v>105</v>
      </c>
      <c r="N385" s="10" t="s">
        <v>619</v>
      </c>
      <c r="O385" s="10" t="s">
        <v>107</v>
      </c>
    </row>
    <row r="386" customFormat="false" ht="15" hidden="false" customHeight="false" outlineLevel="0" collapsed="false">
      <c r="A386" s="10" t="n">
        <v>385</v>
      </c>
      <c r="B386" s="10" t="s">
        <v>620</v>
      </c>
      <c r="C386" s="10" t="s">
        <v>522</v>
      </c>
      <c r="D386" s="10" t="s">
        <v>523</v>
      </c>
      <c r="E386" s="10" t="s">
        <v>92</v>
      </c>
      <c r="F386" s="10" t="s">
        <v>136</v>
      </c>
      <c r="G386" s="11" t="n">
        <v>88</v>
      </c>
      <c r="H386" s="11"/>
      <c r="I386" s="11"/>
      <c r="J386" s="11"/>
      <c r="K386" s="10" t="str">
        <f aca="false">IF(ISNUMBER(J386),IF(J386&lt;10,"ультра-НЧ",IF(J386&lt;100,"НЧ",IF(J386&lt;=1000,"СЧ","ВЧ"))),IF(ISNUMBER(I386),IF(I386&lt;10,"ультра-НЧ",IF(I386&lt;100,"НЧ",IF(I386&lt;=1000,"СЧ","ВЧ"))),"нет данных"))</f>
        <v>нет данных</v>
      </c>
      <c r="L386" s="12" t="str">
        <f aca="false">IF(AND(ISNUMBER(G386),G386&gt;0,ISNUMBER(I386)),I386/G386,"")</f>
        <v/>
      </c>
      <c r="M386" s="10" t="s">
        <v>105</v>
      </c>
      <c r="N386" s="10" t="s">
        <v>620</v>
      </c>
      <c r="O386" s="10" t="s">
        <v>107</v>
      </c>
    </row>
    <row r="387" customFormat="false" ht="15" hidden="false" customHeight="false" outlineLevel="0" collapsed="false">
      <c r="A387" s="10" t="n">
        <v>386</v>
      </c>
      <c r="B387" s="10" t="s">
        <v>621</v>
      </c>
      <c r="C387" s="10" t="s">
        <v>522</v>
      </c>
      <c r="D387" s="10" t="s">
        <v>523</v>
      </c>
      <c r="E387" s="10" t="s">
        <v>92</v>
      </c>
      <c r="F387" s="10" t="s">
        <v>136</v>
      </c>
      <c r="G387" s="11" t="n">
        <v>84</v>
      </c>
      <c r="H387" s="11"/>
      <c r="I387" s="11"/>
      <c r="J387" s="11"/>
      <c r="K387" s="10" t="str">
        <f aca="false">IF(ISNUMBER(J387),IF(J387&lt;10,"ультра-НЧ",IF(J387&lt;100,"НЧ",IF(J387&lt;=1000,"СЧ","ВЧ"))),IF(ISNUMBER(I387),IF(I387&lt;10,"ультра-НЧ",IF(I387&lt;100,"НЧ",IF(I387&lt;=1000,"СЧ","ВЧ"))),"нет данных"))</f>
        <v>нет данных</v>
      </c>
      <c r="L387" s="12" t="str">
        <f aca="false">IF(AND(ISNUMBER(G387),G387&gt;0,ISNUMBER(I387)),I387/G387,"")</f>
        <v/>
      </c>
      <c r="M387" s="10" t="s">
        <v>105</v>
      </c>
      <c r="N387" s="10" t="s">
        <v>621</v>
      </c>
      <c r="O387" s="10" t="s">
        <v>107</v>
      </c>
    </row>
    <row r="388" customFormat="false" ht="15" hidden="false" customHeight="false" outlineLevel="0" collapsed="false">
      <c r="A388" s="10" t="n">
        <v>387</v>
      </c>
      <c r="B388" s="10" t="s">
        <v>622</v>
      </c>
      <c r="C388" s="10" t="s">
        <v>522</v>
      </c>
      <c r="D388" s="10" t="s">
        <v>523</v>
      </c>
      <c r="E388" s="10" t="s">
        <v>92</v>
      </c>
      <c r="F388" s="10" t="s">
        <v>136</v>
      </c>
      <c r="G388" s="11" t="n">
        <v>83</v>
      </c>
      <c r="H388" s="11"/>
      <c r="I388" s="11"/>
      <c r="J388" s="11"/>
      <c r="K388" s="10" t="str">
        <f aca="false">IF(ISNUMBER(J388),IF(J388&lt;10,"ультра-НЧ",IF(J388&lt;100,"НЧ",IF(J388&lt;=1000,"СЧ","ВЧ"))),IF(ISNUMBER(I388),IF(I388&lt;10,"ультра-НЧ",IF(I388&lt;100,"НЧ",IF(I388&lt;=1000,"СЧ","ВЧ"))),"нет данных"))</f>
        <v>нет данных</v>
      </c>
      <c r="L388" s="12" t="str">
        <f aca="false">IF(AND(ISNUMBER(G388),G388&gt;0,ISNUMBER(I388)),I388/G388,"")</f>
        <v/>
      </c>
      <c r="M388" s="10" t="s">
        <v>105</v>
      </c>
      <c r="N388" s="10" t="s">
        <v>623</v>
      </c>
      <c r="O388" s="10" t="s">
        <v>107</v>
      </c>
    </row>
    <row r="389" customFormat="false" ht="15" hidden="false" customHeight="false" outlineLevel="0" collapsed="false">
      <c r="A389" s="10" t="n">
        <v>388</v>
      </c>
      <c r="B389" s="10" t="s">
        <v>624</v>
      </c>
      <c r="C389" s="10" t="s">
        <v>522</v>
      </c>
      <c r="D389" s="10" t="s">
        <v>523</v>
      </c>
      <c r="E389" s="10" t="s">
        <v>92</v>
      </c>
      <c r="F389" s="10" t="s">
        <v>136</v>
      </c>
      <c r="G389" s="11" t="n">
        <v>81</v>
      </c>
      <c r="H389" s="11"/>
      <c r="I389" s="11"/>
      <c r="J389" s="11"/>
      <c r="K389" s="10" t="str">
        <f aca="false">IF(ISNUMBER(J389),IF(J389&lt;10,"ультра-НЧ",IF(J389&lt;100,"НЧ",IF(J389&lt;=1000,"СЧ","ВЧ"))),IF(ISNUMBER(I389),IF(I389&lt;10,"ультра-НЧ",IF(I389&lt;100,"НЧ",IF(I389&lt;=1000,"СЧ","ВЧ"))),"нет данных"))</f>
        <v>нет данных</v>
      </c>
      <c r="L389" s="12" t="str">
        <f aca="false">IF(AND(ISNUMBER(G389),G389&gt;0,ISNUMBER(I389)),I389/G389,"")</f>
        <v/>
      </c>
      <c r="M389" s="10" t="s">
        <v>105</v>
      </c>
      <c r="N389" s="10" t="s">
        <v>624</v>
      </c>
      <c r="O389" s="10" t="s">
        <v>107</v>
      </c>
    </row>
    <row r="390" customFormat="false" ht="15" hidden="false" customHeight="false" outlineLevel="0" collapsed="false">
      <c r="A390" s="10" t="n">
        <v>389</v>
      </c>
      <c r="B390" s="10" t="s">
        <v>625</v>
      </c>
      <c r="C390" s="10" t="s">
        <v>522</v>
      </c>
      <c r="D390" s="10" t="s">
        <v>523</v>
      </c>
      <c r="E390" s="10" t="s">
        <v>92</v>
      </c>
      <c r="F390" s="10" t="s">
        <v>136</v>
      </c>
      <c r="G390" s="11" t="n">
        <v>81</v>
      </c>
      <c r="H390" s="11"/>
      <c r="I390" s="11"/>
      <c r="J390" s="11"/>
      <c r="K390" s="10" t="str">
        <f aca="false">IF(ISNUMBER(J390),IF(J390&lt;10,"ультра-НЧ",IF(J390&lt;100,"НЧ",IF(J390&lt;=1000,"СЧ","ВЧ"))),IF(ISNUMBER(I390),IF(I390&lt;10,"ультра-НЧ",IF(I390&lt;100,"НЧ",IF(I390&lt;=1000,"СЧ","ВЧ"))),"нет данных"))</f>
        <v>нет данных</v>
      </c>
      <c r="L390" s="12" t="str">
        <f aca="false">IF(AND(ISNUMBER(G390),G390&gt;0,ISNUMBER(I390)),I390/G390,"")</f>
        <v/>
      </c>
      <c r="M390" s="10" t="s">
        <v>105</v>
      </c>
      <c r="N390" s="10" t="s">
        <v>625</v>
      </c>
      <c r="O390" s="10" t="s">
        <v>107</v>
      </c>
    </row>
    <row r="391" customFormat="false" ht="15" hidden="false" customHeight="false" outlineLevel="0" collapsed="false">
      <c r="A391" s="10" t="n">
        <v>390</v>
      </c>
      <c r="B391" s="10" t="s">
        <v>626</v>
      </c>
      <c r="C391" s="10" t="s">
        <v>522</v>
      </c>
      <c r="D391" s="10" t="s">
        <v>523</v>
      </c>
      <c r="E391" s="10" t="s">
        <v>92</v>
      </c>
      <c r="F391" s="10" t="s">
        <v>136</v>
      </c>
      <c r="G391" s="11" t="n">
        <v>80</v>
      </c>
      <c r="H391" s="11"/>
      <c r="I391" s="11"/>
      <c r="J391" s="11"/>
      <c r="K391" s="10" t="str">
        <f aca="false">IF(ISNUMBER(J391),IF(J391&lt;10,"ультра-НЧ",IF(J391&lt;100,"НЧ",IF(J391&lt;=1000,"СЧ","ВЧ"))),IF(ISNUMBER(I391),IF(I391&lt;10,"ультра-НЧ",IF(I391&lt;100,"НЧ",IF(I391&lt;=1000,"СЧ","ВЧ"))),"нет данных"))</f>
        <v>нет данных</v>
      </c>
      <c r="L391" s="12" t="str">
        <f aca="false">IF(AND(ISNUMBER(G391),G391&gt;0,ISNUMBER(I391)),I391/G391,"")</f>
        <v/>
      </c>
      <c r="M391" s="10" t="s">
        <v>105</v>
      </c>
      <c r="N391" s="10" t="s">
        <v>627</v>
      </c>
      <c r="O391" s="10" t="s">
        <v>107</v>
      </c>
    </row>
    <row r="392" customFormat="false" ht="15" hidden="false" customHeight="false" outlineLevel="0" collapsed="false">
      <c r="A392" s="10" t="n">
        <v>391</v>
      </c>
      <c r="B392" s="10" t="s">
        <v>628</v>
      </c>
      <c r="C392" s="10" t="s">
        <v>522</v>
      </c>
      <c r="D392" s="10" t="s">
        <v>523</v>
      </c>
      <c r="E392" s="10" t="s">
        <v>92</v>
      </c>
      <c r="F392" s="10" t="s">
        <v>136</v>
      </c>
      <c r="G392" s="11" t="n">
        <v>79</v>
      </c>
      <c r="H392" s="11"/>
      <c r="I392" s="11"/>
      <c r="J392" s="11"/>
      <c r="K392" s="10" t="str">
        <f aca="false">IF(ISNUMBER(J392),IF(J392&lt;10,"ультра-НЧ",IF(J392&lt;100,"НЧ",IF(J392&lt;=1000,"СЧ","ВЧ"))),IF(ISNUMBER(I392),IF(I392&lt;10,"ультра-НЧ",IF(I392&lt;100,"НЧ",IF(I392&lt;=1000,"СЧ","ВЧ"))),"нет данных"))</f>
        <v>нет данных</v>
      </c>
      <c r="L392" s="12" t="str">
        <f aca="false">IF(AND(ISNUMBER(G392),G392&gt;0,ISNUMBER(I392)),I392/G392,"")</f>
        <v/>
      </c>
      <c r="M392" s="10" t="s">
        <v>105</v>
      </c>
      <c r="N392" s="10" t="s">
        <v>628</v>
      </c>
      <c r="O392" s="10" t="s">
        <v>107</v>
      </c>
    </row>
    <row r="393" customFormat="false" ht="15" hidden="false" customHeight="false" outlineLevel="0" collapsed="false">
      <c r="A393" s="10" t="n">
        <v>392</v>
      </c>
      <c r="B393" s="10" t="s">
        <v>629</v>
      </c>
      <c r="C393" s="10" t="s">
        <v>522</v>
      </c>
      <c r="D393" s="10" t="s">
        <v>523</v>
      </c>
      <c r="E393" s="10" t="s">
        <v>92</v>
      </c>
      <c r="F393" s="10" t="s">
        <v>136</v>
      </c>
      <c r="G393" s="11" t="n">
        <v>79</v>
      </c>
      <c r="H393" s="11"/>
      <c r="I393" s="11"/>
      <c r="J393" s="11"/>
      <c r="K393" s="10" t="str">
        <f aca="false">IF(ISNUMBER(J393),IF(J393&lt;10,"ультра-НЧ",IF(J393&lt;100,"НЧ",IF(J393&lt;=1000,"СЧ","ВЧ"))),IF(ISNUMBER(I393),IF(I393&lt;10,"ультра-НЧ",IF(I393&lt;100,"НЧ",IF(I393&lt;=1000,"СЧ","ВЧ"))),"нет данных"))</f>
        <v>нет данных</v>
      </c>
      <c r="L393" s="12" t="str">
        <f aca="false">IF(AND(ISNUMBER(G393),G393&gt;0,ISNUMBER(I393)),I393/G393,"")</f>
        <v/>
      </c>
      <c r="M393" s="10" t="s">
        <v>105</v>
      </c>
      <c r="N393" s="10" t="s">
        <v>629</v>
      </c>
      <c r="O393" s="10" t="s">
        <v>107</v>
      </c>
    </row>
    <row r="394" customFormat="false" ht="15" hidden="false" customHeight="false" outlineLevel="0" collapsed="false">
      <c r="A394" s="10" t="n">
        <v>393</v>
      </c>
      <c r="B394" s="10" t="s">
        <v>630</v>
      </c>
      <c r="C394" s="10" t="s">
        <v>522</v>
      </c>
      <c r="D394" s="10" t="s">
        <v>523</v>
      </c>
      <c r="E394" s="10" t="s">
        <v>92</v>
      </c>
      <c r="F394" s="10" t="s">
        <v>136</v>
      </c>
      <c r="G394" s="11" t="n">
        <v>79</v>
      </c>
      <c r="H394" s="11"/>
      <c r="I394" s="11"/>
      <c r="J394" s="11"/>
      <c r="K394" s="10" t="str">
        <f aca="false">IF(ISNUMBER(J394),IF(J394&lt;10,"ультра-НЧ",IF(J394&lt;100,"НЧ",IF(J394&lt;=1000,"СЧ","ВЧ"))),IF(ISNUMBER(I394),IF(I394&lt;10,"ультра-НЧ",IF(I394&lt;100,"НЧ",IF(I394&lt;=1000,"СЧ","ВЧ"))),"нет данных"))</f>
        <v>нет данных</v>
      </c>
      <c r="L394" s="12" t="str">
        <f aca="false">IF(AND(ISNUMBER(G394),G394&gt;0,ISNUMBER(I394)),I394/G394,"")</f>
        <v/>
      </c>
      <c r="M394" s="10" t="s">
        <v>105</v>
      </c>
      <c r="N394" s="10" t="s">
        <v>630</v>
      </c>
      <c r="O394" s="10" t="s">
        <v>107</v>
      </c>
    </row>
    <row r="395" customFormat="false" ht="15" hidden="false" customHeight="false" outlineLevel="0" collapsed="false">
      <c r="A395" s="10" t="n">
        <v>394</v>
      </c>
      <c r="B395" s="10" t="s">
        <v>631</v>
      </c>
      <c r="C395" s="10" t="s">
        <v>522</v>
      </c>
      <c r="D395" s="10" t="s">
        <v>523</v>
      </c>
      <c r="E395" s="10" t="s">
        <v>92</v>
      </c>
      <c r="F395" s="10" t="s">
        <v>136</v>
      </c>
      <c r="G395" s="11" t="n">
        <v>76</v>
      </c>
      <c r="H395" s="11"/>
      <c r="I395" s="11"/>
      <c r="J395" s="11"/>
      <c r="K395" s="10" t="str">
        <f aca="false">IF(ISNUMBER(J395),IF(J395&lt;10,"ультра-НЧ",IF(J395&lt;100,"НЧ",IF(J395&lt;=1000,"СЧ","ВЧ"))),IF(ISNUMBER(I395),IF(I395&lt;10,"ультра-НЧ",IF(I395&lt;100,"НЧ",IF(I395&lt;=1000,"СЧ","ВЧ"))),"нет данных"))</f>
        <v>нет данных</v>
      </c>
      <c r="L395" s="12" t="str">
        <f aca="false">IF(AND(ISNUMBER(G395),G395&gt;0,ISNUMBER(I395)),I395/G395,"")</f>
        <v/>
      </c>
      <c r="M395" s="10" t="s">
        <v>105</v>
      </c>
      <c r="N395" s="10" t="s">
        <v>632</v>
      </c>
      <c r="O395" s="10" t="s">
        <v>107</v>
      </c>
    </row>
    <row r="396" customFormat="false" ht="15" hidden="false" customHeight="false" outlineLevel="0" collapsed="false">
      <c r="A396" s="10" t="n">
        <v>395</v>
      </c>
      <c r="B396" s="10" t="s">
        <v>633</v>
      </c>
      <c r="C396" s="10" t="s">
        <v>522</v>
      </c>
      <c r="D396" s="10" t="s">
        <v>523</v>
      </c>
      <c r="E396" s="10" t="s">
        <v>92</v>
      </c>
      <c r="F396" s="10" t="s">
        <v>136</v>
      </c>
      <c r="G396" s="11" t="n">
        <v>75</v>
      </c>
      <c r="H396" s="11"/>
      <c r="I396" s="11"/>
      <c r="J396" s="11"/>
      <c r="K396" s="10" t="str">
        <f aca="false">IF(ISNUMBER(J396),IF(J396&lt;10,"ультра-НЧ",IF(J396&lt;100,"НЧ",IF(J396&lt;=1000,"СЧ","ВЧ"))),IF(ISNUMBER(I396),IF(I396&lt;10,"ультра-НЧ",IF(I396&lt;100,"НЧ",IF(I396&lt;=1000,"СЧ","ВЧ"))),"нет данных"))</f>
        <v>нет данных</v>
      </c>
      <c r="L396" s="12" t="str">
        <f aca="false">IF(AND(ISNUMBER(G396),G396&gt;0,ISNUMBER(I396)),I396/G396,"")</f>
        <v/>
      </c>
      <c r="M396" s="10" t="s">
        <v>105</v>
      </c>
      <c r="N396" s="10" t="s">
        <v>633</v>
      </c>
      <c r="O396" s="10" t="s">
        <v>107</v>
      </c>
    </row>
    <row r="397" customFormat="false" ht="15" hidden="false" customHeight="false" outlineLevel="0" collapsed="false">
      <c r="A397" s="10" t="n">
        <v>396</v>
      </c>
      <c r="B397" s="10" t="s">
        <v>634</v>
      </c>
      <c r="C397" s="10" t="s">
        <v>522</v>
      </c>
      <c r="D397" s="10" t="s">
        <v>523</v>
      </c>
      <c r="E397" s="10" t="s">
        <v>92</v>
      </c>
      <c r="F397" s="10" t="s">
        <v>136</v>
      </c>
      <c r="G397" s="11" t="n">
        <v>75</v>
      </c>
      <c r="H397" s="11"/>
      <c r="I397" s="11"/>
      <c r="J397" s="11"/>
      <c r="K397" s="10" t="str">
        <f aca="false">IF(ISNUMBER(J397),IF(J397&lt;10,"ультра-НЧ",IF(J397&lt;100,"НЧ",IF(J397&lt;=1000,"СЧ","ВЧ"))),IF(ISNUMBER(I397),IF(I397&lt;10,"ультра-НЧ",IF(I397&lt;100,"НЧ",IF(I397&lt;=1000,"СЧ","ВЧ"))),"нет данных"))</f>
        <v>нет данных</v>
      </c>
      <c r="L397" s="12" t="str">
        <f aca="false">IF(AND(ISNUMBER(G397),G397&gt;0,ISNUMBER(I397)),I397/G397,"")</f>
        <v/>
      </c>
      <c r="M397" s="10" t="s">
        <v>105</v>
      </c>
      <c r="N397" s="10" t="s">
        <v>634</v>
      </c>
      <c r="O397" s="10" t="s">
        <v>107</v>
      </c>
    </row>
    <row r="398" customFormat="false" ht="15" hidden="false" customHeight="false" outlineLevel="0" collapsed="false">
      <c r="A398" s="10" t="n">
        <v>397</v>
      </c>
      <c r="B398" s="10" t="s">
        <v>635</v>
      </c>
      <c r="C398" s="10" t="s">
        <v>522</v>
      </c>
      <c r="D398" s="10" t="s">
        <v>523</v>
      </c>
      <c r="E398" s="10" t="s">
        <v>92</v>
      </c>
      <c r="F398" s="10" t="s">
        <v>136</v>
      </c>
      <c r="G398" s="11" t="n">
        <v>75</v>
      </c>
      <c r="H398" s="11"/>
      <c r="I398" s="11"/>
      <c r="J398" s="11"/>
      <c r="K398" s="10" t="str">
        <f aca="false">IF(ISNUMBER(J398),IF(J398&lt;10,"ультра-НЧ",IF(J398&lt;100,"НЧ",IF(J398&lt;=1000,"СЧ","ВЧ"))),IF(ISNUMBER(I398),IF(I398&lt;10,"ультра-НЧ",IF(I398&lt;100,"НЧ",IF(I398&lt;=1000,"СЧ","ВЧ"))),"нет данных"))</f>
        <v>нет данных</v>
      </c>
      <c r="L398" s="12" t="str">
        <f aca="false">IF(AND(ISNUMBER(G398),G398&gt;0,ISNUMBER(I398)),I398/G398,"")</f>
        <v/>
      </c>
      <c r="M398" s="10" t="s">
        <v>94</v>
      </c>
      <c r="N398" s="10" t="s">
        <v>635</v>
      </c>
      <c r="O398" s="10"/>
    </row>
    <row r="399" customFormat="false" ht="15" hidden="false" customHeight="false" outlineLevel="0" collapsed="false">
      <c r="A399" s="10" t="n">
        <v>398</v>
      </c>
      <c r="B399" s="10" t="s">
        <v>636</v>
      </c>
      <c r="C399" s="10" t="s">
        <v>522</v>
      </c>
      <c r="D399" s="10" t="s">
        <v>523</v>
      </c>
      <c r="E399" s="10" t="s">
        <v>92</v>
      </c>
      <c r="F399" s="10" t="s">
        <v>136</v>
      </c>
      <c r="G399" s="11" t="n">
        <v>74</v>
      </c>
      <c r="H399" s="11"/>
      <c r="I399" s="11"/>
      <c r="J399" s="11"/>
      <c r="K399" s="10" t="str">
        <f aca="false">IF(ISNUMBER(J399),IF(J399&lt;10,"ультра-НЧ",IF(J399&lt;100,"НЧ",IF(J399&lt;=1000,"СЧ","ВЧ"))),IF(ISNUMBER(I399),IF(I399&lt;10,"ультра-НЧ",IF(I399&lt;100,"НЧ",IF(I399&lt;=1000,"СЧ","ВЧ"))),"нет данных"))</f>
        <v>нет данных</v>
      </c>
      <c r="L399" s="12" t="str">
        <f aca="false">IF(AND(ISNUMBER(G399),G399&gt;0,ISNUMBER(I399)),I399/G399,"")</f>
        <v/>
      </c>
      <c r="M399" s="10" t="s">
        <v>105</v>
      </c>
      <c r="N399" s="10" t="s">
        <v>636</v>
      </c>
      <c r="O399" s="10" t="s">
        <v>107</v>
      </c>
    </row>
    <row r="400" customFormat="false" ht="15" hidden="false" customHeight="false" outlineLevel="0" collapsed="false">
      <c r="A400" s="10" t="n">
        <v>399</v>
      </c>
      <c r="B400" s="10" t="s">
        <v>637</v>
      </c>
      <c r="C400" s="10" t="s">
        <v>522</v>
      </c>
      <c r="D400" s="10" t="s">
        <v>523</v>
      </c>
      <c r="E400" s="10" t="s">
        <v>92</v>
      </c>
      <c r="F400" s="10" t="s">
        <v>136</v>
      </c>
      <c r="G400" s="11" t="n">
        <v>74</v>
      </c>
      <c r="H400" s="11"/>
      <c r="I400" s="11"/>
      <c r="J400" s="11"/>
      <c r="K400" s="10" t="str">
        <f aca="false">IF(ISNUMBER(J400),IF(J400&lt;10,"ультра-НЧ",IF(J400&lt;100,"НЧ",IF(J400&lt;=1000,"СЧ","ВЧ"))),IF(ISNUMBER(I400),IF(I400&lt;10,"ультра-НЧ",IF(I400&lt;100,"НЧ",IF(I400&lt;=1000,"СЧ","ВЧ"))),"нет данных"))</f>
        <v>нет данных</v>
      </c>
      <c r="L400" s="12" t="str">
        <f aca="false">IF(AND(ISNUMBER(G400),G400&gt;0,ISNUMBER(I400)),I400/G400,"")</f>
        <v/>
      </c>
      <c r="M400" s="10" t="s">
        <v>105</v>
      </c>
      <c r="N400" s="10" t="s">
        <v>637</v>
      </c>
      <c r="O400" s="10" t="s">
        <v>107</v>
      </c>
    </row>
    <row r="401" customFormat="false" ht="15" hidden="false" customHeight="false" outlineLevel="0" collapsed="false">
      <c r="A401" s="10" t="n">
        <v>400</v>
      </c>
      <c r="B401" s="10" t="s">
        <v>638</v>
      </c>
      <c r="C401" s="10" t="s">
        <v>522</v>
      </c>
      <c r="D401" s="10" t="s">
        <v>523</v>
      </c>
      <c r="E401" s="10" t="s">
        <v>92</v>
      </c>
      <c r="F401" s="10" t="s">
        <v>136</v>
      </c>
      <c r="G401" s="11" t="n">
        <v>73</v>
      </c>
      <c r="H401" s="11"/>
      <c r="I401" s="11"/>
      <c r="J401" s="11"/>
      <c r="K401" s="10" t="str">
        <f aca="false">IF(ISNUMBER(J401),IF(J401&lt;10,"ультра-НЧ",IF(J401&lt;100,"НЧ",IF(J401&lt;=1000,"СЧ","ВЧ"))),IF(ISNUMBER(I401),IF(I401&lt;10,"ультра-НЧ",IF(I401&lt;100,"НЧ",IF(I401&lt;=1000,"СЧ","ВЧ"))),"нет данных"))</f>
        <v>нет данных</v>
      </c>
      <c r="L401" s="12" t="str">
        <f aca="false">IF(AND(ISNUMBER(G401),G401&gt;0,ISNUMBER(I401)),I401/G401,"")</f>
        <v/>
      </c>
      <c r="M401" s="10" t="s">
        <v>105</v>
      </c>
      <c r="N401" s="10" t="s">
        <v>638</v>
      </c>
      <c r="O401" s="10" t="s">
        <v>107</v>
      </c>
    </row>
    <row r="402" customFormat="false" ht="15" hidden="false" customHeight="false" outlineLevel="0" collapsed="false">
      <c r="A402" s="10" t="n">
        <v>401</v>
      </c>
      <c r="B402" s="10" t="s">
        <v>639</v>
      </c>
      <c r="C402" s="10" t="s">
        <v>522</v>
      </c>
      <c r="D402" s="10" t="s">
        <v>523</v>
      </c>
      <c r="E402" s="10" t="s">
        <v>92</v>
      </c>
      <c r="F402" s="10" t="s">
        <v>136</v>
      </c>
      <c r="G402" s="11" t="n">
        <v>72</v>
      </c>
      <c r="H402" s="11"/>
      <c r="I402" s="11"/>
      <c r="J402" s="11"/>
      <c r="K402" s="10" t="str">
        <f aca="false">IF(ISNUMBER(J402),IF(J402&lt;10,"ультра-НЧ",IF(J402&lt;100,"НЧ",IF(J402&lt;=1000,"СЧ","ВЧ"))),IF(ISNUMBER(I402),IF(I402&lt;10,"ультра-НЧ",IF(I402&lt;100,"НЧ",IF(I402&lt;=1000,"СЧ","ВЧ"))),"нет данных"))</f>
        <v>нет данных</v>
      </c>
      <c r="L402" s="12" t="str">
        <f aca="false">IF(AND(ISNUMBER(G402),G402&gt;0,ISNUMBER(I402)),I402/G402,"")</f>
        <v/>
      </c>
      <c r="M402" s="10" t="s">
        <v>105</v>
      </c>
      <c r="N402" s="10" t="s">
        <v>639</v>
      </c>
      <c r="O402" s="10" t="s">
        <v>107</v>
      </c>
    </row>
    <row r="403" customFormat="false" ht="15" hidden="false" customHeight="false" outlineLevel="0" collapsed="false">
      <c r="A403" s="10" t="n">
        <v>402</v>
      </c>
      <c r="B403" s="10" t="s">
        <v>640</v>
      </c>
      <c r="C403" s="10" t="s">
        <v>522</v>
      </c>
      <c r="D403" s="10" t="s">
        <v>523</v>
      </c>
      <c r="E403" s="10" t="s">
        <v>92</v>
      </c>
      <c r="F403" s="10" t="s">
        <v>136</v>
      </c>
      <c r="G403" s="11" t="n">
        <v>71</v>
      </c>
      <c r="H403" s="11"/>
      <c r="I403" s="11"/>
      <c r="J403" s="11"/>
      <c r="K403" s="10" t="str">
        <f aca="false">IF(ISNUMBER(J403),IF(J403&lt;10,"ультра-НЧ",IF(J403&lt;100,"НЧ",IF(J403&lt;=1000,"СЧ","ВЧ"))),IF(ISNUMBER(I403),IF(I403&lt;10,"ультра-НЧ",IF(I403&lt;100,"НЧ",IF(I403&lt;=1000,"СЧ","ВЧ"))),"нет данных"))</f>
        <v>нет данных</v>
      </c>
      <c r="L403" s="12" t="str">
        <f aca="false">IF(AND(ISNUMBER(G403),G403&gt;0,ISNUMBER(I403)),I403/G403,"")</f>
        <v/>
      </c>
      <c r="M403" s="10" t="s">
        <v>105</v>
      </c>
      <c r="N403" s="10" t="s">
        <v>641</v>
      </c>
      <c r="O403" s="10" t="s">
        <v>107</v>
      </c>
    </row>
    <row r="404" customFormat="false" ht="15" hidden="false" customHeight="false" outlineLevel="0" collapsed="false">
      <c r="A404" s="10" t="n">
        <v>403</v>
      </c>
      <c r="B404" s="10" t="s">
        <v>642</v>
      </c>
      <c r="C404" s="10" t="s">
        <v>522</v>
      </c>
      <c r="D404" s="10" t="s">
        <v>523</v>
      </c>
      <c r="E404" s="10" t="s">
        <v>92</v>
      </c>
      <c r="F404" s="10" t="s">
        <v>136</v>
      </c>
      <c r="G404" s="11" t="n">
        <v>71</v>
      </c>
      <c r="H404" s="11"/>
      <c r="I404" s="11"/>
      <c r="J404" s="11"/>
      <c r="K404" s="10" t="str">
        <f aca="false">IF(ISNUMBER(J404),IF(J404&lt;10,"ультра-НЧ",IF(J404&lt;100,"НЧ",IF(J404&lt;=1000,"СЧ","ВЧ"))),IF(ISNUMBER(I404),IF(I404&lt;10,"ультра-НЧ",IF(I404&lt;100,"НЧ",IF(I404&lt;=1000,"СЧ","ВЧ"))),"нет данных"))</f>
        <v>нет данных</v>
      </c>
      <c r="L404" s="12" t="str">
        <f aca="false">IF(AND(ISNUMBER(G404),G404&gt;0,ISNUMBER(I404)),I404/G404,"")</f>
        <v/>
      </c>
      <c r="M404" s="10" t="s">
        <v>105</v>
      </c>
      <c r="N404" s="10" t="s">
        <v>643</v>
      </c>
      <c r="O404" s="10" t="s">
        <v>107</v>
      </c>
    </row>
    <row r="405" customFormat="false" ht="15" hidden="false" customHeight="false" outlineLevel="0" collapsed="false">
      <c r="A405" s="10" t="n">
        <v>404</v>
      </c>
      <c r="B405" s="10" t="s">
        <v>644</v>
      </c>
      <c r="C405" s="10" t="s">
        <v>522</v>
      </c>
      <c r="D405" s="10" t="s">
        <v>523</v>
      </c>
      <c r="E405" s="10" t="s">
        <v>92</v>
      </c>
      <c r="F405" s="10" t="s">
        <v>136</v>
      </c>
      <c r="G405" s="11" t="n">
        <v>71</v>
      </c>
      <c r="H405" s="11"/>
      <c r="I405" s="11"/>
      <c r="J405" s="11"/>
      <c r="K405" s="10" t="str">
        <f aca="false">IF(ISNUMBER(J405),IF(J405&lt;10,"ультра-НЧ",IF(J405&lt;100,"НЧ",IF(J405&lt;=1000,"СЧ","ВЧ"))),IF(ISNUMBER(I405),IF(I405&lt;10,"ультра-НЧ",IF(I405&lt;100,"НЧ",IF(I405&lt;=1000,"СЧ","ВЧ"))),"нет данных"))</f>
        <v>нет данных</v>
      </c>
      <c r="L405" s="12" t="str">
        <f aca="false">IF(AND(ISNUMBER(G405),G405&gt;0,ISNUMBER(I405)),I405/G405,"")</f>
        <v/>
      </c>
      <c r="M405" s="10" t="s">
        <v>105</v>
      </c>
      <c r="N405" s="10" t="s">
        <v>644</v>
      </c>
      <c r="O405" s="10" t="s">
        <v>107</v>
      </c>
    </row>
    <row r="406" customFormat="false" ht="15" hidden="false" customHeight="false" outlineLevel="0" collapsed="false">
      <c r="A406" s="10" t="n">
        <v>405</v>
      </c>
      <c r="B406" s="10" t="s">
        <v>645</v>
      </c>
      <c r="C406" s="10" t="s">
        <v>522</v>
      </c>
      <c r="D406" s="10" t="s">
        <v>523</v>
      </c>
      <c r="E406" s="10" t="s">
        <v>92</v>
      </c>
      <c r="F406" s="10" t="s">
        <v>136</v>
      </c>
      <c r="G406" s="11" t="n">
        <v>70</v>
      </c>
      <c r="H406" s="11"/>
      <c r="I406" s="11"/>
      <c r="J406" s="11"/>
      <c r="K406" s="10" t="str">
        <f aca="false">IF(ISNUMBER(J406),IF(J406&lt;10,"ультра-НЧ",IF(J406&lt;100,"НЧ",IF(J406&lt;=1000,"СЧ","ВЧ"))),IF(ISNUMBER(I406),IF(I406&lt;10,"ультра-НЧ",IF(I406&lt;100,"НЧ",IF(I406&lt;=1000,"СЧ","ВЧ"))),"нет данных"))</f>
        <v>нет данных</v>
      </c>
      <c r="L406" s="12" t="str">
        <f aca="false">IF(AND(ISNUMBER(G406),G406&gt;0,ISNUMBER(I406)),I406/G406,"")</f>
        <v/>
      </c>
      <c r="M406" s="10" t="s">
        <v>105</v>
      </c>
      <c r="N406" s="10" t="s">
        <v>646</v>
      </c>
      <c r="O406" s="10" t="s">
        <v>107</v>
      </c>
    </row>
    <row r="407" customFormat="false" ht="15" hidden="false" customHeight="false" outlineLevel="0" collapsed="false">
      <c r="A407" s="10" t="n">
        <v>406</v>
      </c>
      <c r="B407" s="10" t="s">
        <v>647</v>
      </c>
      <c r="C407" s="10" t="s">
        <v>522</v>
      </c>
      <c r="D407" s="10" t="s">
        <v>523</v>
      </c>
      <c r="E407" s="10" t="s">
        <v>92</v>
      </c>
      <c r="F407" s="10" t="s">
        <v>136</v>
      </c>
      <c r="G407" s="11" t="n">
        <v>70</v>
      </c>
      <c r="H407" s="11"/>
      <c r="I407" s="11"/>
      <c r="J407" s="11"/>
      <c r="K407" s="10" t="str">
        <f aca="false">IF(ISNUMBER(J407),IF(J407&lt;10,"ультра-НЧ",IF(J407&lt;100,"НЧ",IF(J407&lt;=1000,"СЧ","ВЧ"))),IF(ISNUMBER(I407),IF(I407&lt;10,"ультра-НЧ",IF(I407&lt;100,"НЧ",IF(I407&lt;=1000,"СЧ","ВЧ"))),"нет данных"))</f>
        <v>нет данных</v>
      </c>
      <c r="L407" s="12" t="str">
        <f aca="false">IF(AND(ISNUMBER(G407),G407&gt;0,ISNUMBER(I407)),I407/G407,"")</f>
        <v/>
      </c>
      <c r="M407" s="10" t="s">
        <v>105</v>
      </c>
      <c r="N407" s="10" t="s">
        <v>647</v>
      </c>
      <c r="O407" s="10" t="s">
        <v>107</v>
      </c>
    </row>
    <row r="408" customFormat="false" ht="15" hidden="false" customHeight="false" outlineLevel="0" collapsed="false">
      <c r="A408" s="10" t="n">
        <v>407</v>
      </c>
      <c r="B408" s="10" t="s">
        <v>648</v>
      </c>
      <c r="C408" s="10" t="s">
        <v>522</v>
      </c>
      <c r="D408" s="10" t="s">
        <v>523</v>
      </c>
      <c r="E408" s="10" t="s">
        <v>92</v>
      </c>
      <c r="F408" s="10" t="s">
        <v>136</v>
      </c>
      <c r="G408" s="11" t="n">
        <v>69</v>
      </c>
      <c r="H408" s="11"/>
      <c r="I408" s="11"/>
      <c r="J408" s="11"/>
      <c r="K408" s="10" t="str">
        <f aca="false">IF(ISNUMBER(J408),IF(J408&lt;10,"ультра-НЧ",IF(J408&lt;100,"НЧ",IF(J408&lt;=1000,"СЧ","ВЧ"))),IF(ISNUMBER(I408),IF(I408&lt;10,"ультра-НЧ",IF(I408&lt;100,"НЧ",IF(I408&lt;=1000,"СЧ","ВЧ"))),"нет данных"))</f>
        <v>нет данных</v>
      </c>
      <c r="L408" s="12" t="str">
        <f aca="false">IF(AND(ISNUMBER(G408),G408&gt;0,ISNUMBER(I408)),I408/G408,"")</f>
        <v/>
      </c>
      <c r="M408" s="10" t="s">
        <v>105</v>
      </c>
      <c r="N408" s="10" t="s">
        <v>648</v>
      </c>
      <c r="O408" s="10" t="s">
        <v>107</v>
      </c>
    </row>
    <row r="409" customFormat="false" ht="15" hidden="false" customHeight="false" outlineLevel="0" collapsed="false">
      <c r="A409" s="10" t="n">
        <v>408</v>
      </c>
      <c r="B409" s="10" t="s">
        <v>649</v>
      </c>
      <c r="C409" s="10" t="s">
        <v>522</v>
      </c>
      <c r="D409" s="10" t="s">
        <v>523</v>
      </c>
      <c r="E409" s="10" t="s">
        <v>92</v>
      </c>
      <c r="F409" s="10" t="s">
        <v>136</v>
      </c>
      <c r="G409" s="11" t="n">
        <v>68</v>
      </c>
      <c r="H409" s="11"/>
      <c r="I409" s="11"/>
      <c r="J409" s="11"/>
      <c r="K409" s="10" t="str">
        <f aca="false">IF(ISNUMBER(J409),IF(J409&lt;10,"ультра-НЧ",IF(J409&lt;100,"НЧ",IF(J409&lt;=1000,"СЧ","ВЧ"))),IF(ISNUMBER(I409),IF(I409&lt;10,"ультра-НЧ",IF(I409&lt;100,"НЧ",IF(I409&lt;=1000,"СЧ","ВЧ"))),"нет данных"))</f>
        <v>нет данных</v>
      </c>
      <c r="L409" s="12" t="str">
        <f aca="false">IF(AND(ISNUMBER(G409),G409&gt;0,ISNUMBER(I409)),I409/G409,"")</f>
        <v/>
      </c>
      <c r="M409" s="10" t="s">
        <v>105</v>
      </c>
      <c r="N409" s="10" t="s">
        <v>649</v>
      </c>
      <c r="O409" s="10" t="s">
        <v>107</v>
      </c>
    </row>
    <row r="410" customFormat="false" ht="15" hidden="false" customHeight="false" outlineLevel="0" collapsed="false">
      <c r="A410" s="10" t="n">
        <v>409</v>
      </c>
      <c r="B410" s="10" t="s">
        <v>650</v>
      </c>
      <c r="C410" s="10" t="s">
        <v>522</v>
      </c>
      <c r="D410" s="10" t="s">
        <v>523</v>
      </c>
      <c r="E410" s="10" t="s">
        <v>92</v>
      </c>
      <c r="F410" s="10" t="s">
        <v>136</v>
      </c>
      <c r="G410" s="11" t="n">
        <v>68</v>
      </c>
      <c r="H410" s="11"/>
      <c r="I410" s="11"/>
      <c r="J410" s="11"/>
      <c r="K410" s="10" t="str">
        <f aca="false">IF(ISNUMBER(J410),IF(J410&lt;10,"ультра-НЧ",IF(J410&lt;100,"НЧ",IF(J410&lt;=1000,"СЧ","ВЧ"))),IF(ISNUMBER(I410),IF(I410&lt;10,"ультра-НЧ",IF(I410&lt;100,"НЧ",IF(I410&lt;=1000,"СЧ","ВЧ"))),"нет данных"))</f>
        <v>нет данных</v>
      </c>
      <c r="L410" s="12" t="str">
        <f aca="false">IF(AND(ISNUMBER(G410),G410&gt;0,ISNUMBER(I410)),I410/G410,"")</f>
        <v/>
      </c>
      <c r="M410" s="10" t="s">
        <v>105</v>
      </c>
      <c r="N410" s="10" t="s">
        <v>650</v>
      </c>
      <c r="O410" s="10" t="s">
        <v>107</v>
      </c>
    </row>
    <row r="411" customFormat="false" ht="15" hidden="false" customHeight="false" outlineLevel="0" collapsed="false">
      <c r="A411" s="10" t="n">
        <v>410</v>
      </c>
      <c r="B411" s="10" t="s">
        <v>651</v>
      </c>
      <c r="C411" s="10" t="s">
        <v>522</v>
      </c>
      <c r="D411" s="10" t="s">
        <v>523</v>
      </c>
      <c r="E411" s="10" t="s">
        <v>92</v>
      </c>
      <c r="F411" s="10" t="s">
        <v>136</v>
      </c>
      <c r="G411" s="11" t="n">
        <v>67</v>
      </c>
      <c r="H411" s="11"/>
      <c r="I411" s="11"/>
      <c r="J411" s="11"/>
      <c r="K411" s="10" t="str">
        <f aca="false">IF(ISNUMBER(J411),IF(J411&lt;10,"ультра-НЧ",IF(J411&lt;100,"НЧ",IF(J411&lt;=1000,"СЧ","ВЧ"))),IF(ISNUMBER(I411),IF(I411&lt;10,"ультра-НЧ",IF(I411&lt;100,"НЧ",IF(I411&lt;=1000,"СЧ","ВЧ"))),"нет данных"))</f>
        <v>нет данных</v>
      </c>
      <c r="L411" s="12" t="str">
        <f aca="false">IF(AND(ISNUMBER(G411),G411&gt;0,ISNUMBER(I411)),I411/G411,"")</f>
        <v/>
      </c>
      <c r="M411" s="10" t="s">
        <v>105</v>
      </c>
      <c r="N411" s="10" t="s">
        <v>651</v>
      </c>
      <c r="O411" s="10" t="s">
        <v>107</v>
      </c>
    </row>
    <row r="412" customFormat="false" ht="15" hidden="false" customHeight="false" outlineLevel="0" collapsed="false">
      <c r="A412" s="10" t="n">
        <v>411</v>
      </c>
      <c r="B412" s="10" t="s">
        <v>652</v>
      </c>
      <c r="C412" s="10" t="s">
        <v>522</v>
      </c>
      <c r="D412" s="10" t="s">
        <v>523</v>
      </c>
      <c r="E412" s="10" t="s">
        <v>92</v>
      </c>
      <c r="F412" s="10" t="s">
        <v>136</v>
      </c>
      <c r="G412" s="11" t="n">
        <v>67</v>
      </c>
      <c r="H412" s="11"/>
      <c r="I412" s="11"/>
      <c r="J412" s="11"/>
      <c r="K412" s="10" t="str">
        <f aca="false">IF(ISNUMBER(J412),IF(J412&lt;10,"ультра-НЧ",IF(J412&lt;100,"НЧ",IF(J412&lt;=1000,"СЧ","ВЧ"))),IF(ISNUMBER(I412),IF(I412&lt;10,"ультра-НЧ",IF(I412&lt;100,"НЧ",IF(I412&lt;=1000,"СЧ","ВЧ"))),"нет данных"))</f>
        <v>нет данных</v>
      </c>
      <c r="L412" s="12" t="str">
        <f aca="false">IF(AND(ISNUMBER(G412),G412&gt;0,ISNUMBER(I412)),I412/G412,"")</f>
        <v/>
      </c>
      <c r="M412" s="10" t="s">
        <v>105</v>
      </c>
      <c r="N412" s="10" t="s">
        <v>652</v>
      </c>
      <c r="O412" s="10" t="s">
        <v>107</v>
      </c>
    </row>
    <row r="413" customFormat="false" ht="15" hidden="false" customHeight="false" outlineLevel="0" collapsed="false">
      <c r="A413" s="10" t="n">
        <v>412</v>
      </c>
      <c r="B413" s="10" t="s">
        <v>653</v>
      </c>
      <c r="C413" s="10" t="s">
        <v>522</v>
      </c>
      <c r="D413" s="10" t="s">
        <v>523</v>
      </c>
      <c r="E413" s="10" t="s">
        <v>92</v>
      </c>
      <c r="F413" s="10" t="s">
        <v>136</v>
      </c>
      <c r="G413" s="11" t="n">
        <v>66</v>
      </c>
      <c r="H413" s="11"/>
      <c r="I413" s="11"/>
      <c r="J413" s="11"/>
      <c r="K413" s="10" t="str">
        <f aca="false">IF(ISNUMBER(J413),IF(J413&lt;10,"ультра-НЧ",IF(J413&lt;100,"НЧ",IF(J413&lt;=1000,"СЧ","ВЧ"))),IF(ISNUMBER(I413),IF(I413&lt;10,"ультра-НЧ",IF(I413&lt;100,"НЧ",IF(I413&lt;=1000,"СЧ","ВЧ"))),"нет данных"))</f>
        <v>нет данных</v>
      </c>
      <c r="L413" s="12" t="str">
        <f aca="false">IF(AND(ISNUMBER(G413),G413&gt;0,ISNUMBER(I413)),I413/G413,"")</f>
        <v/>
      </c>
      <c r="M413" s="10" t="s">
        <v>105</v>
      </c>
      <c r="N413" s="10" t="s">
        <v>653</v>
      </c>
      <c r="O413" s="10" t="s">
        <v>107</v>
      </c>
    </row>
    <row r="414" customFormat="false" ht="15" hidden="false" customHeight="false" outlineLevel="0" collapsed="false">
      <c r="A414" s="10" t="n">
        <v>413</v>
      </c>
      <c r="B414" s="10" t="s">
        <v>654</v>
      </c>
      <c r="C414" s="10" t="s">
        <v>522</v>
      </c>
      <c r="D414" s="10" t="s">
        <v>523</v>
      </c>
      <c r="E414" s="10" t="s">
        <v>92</v>
      </c>
      <c r="F414" s="10" t="s">
        <v>136</v>
      </c>
      <c r="G414" s="11" t="n">
        <v>64</v>
      </c>
      <c r="H414" s="11"/>
      <c r="I414" s="11"/>
      <c r="J414" s="11"/>
      <c r="K414" s="10" t="str">
        <f aca="false">IF(ISNUMBER(J414),IF(J414&lt;10,"ультра-НЧ",IF(J414&lt;100,"НЧ",IF(J414&lt;=1000,"СЧ","ВЧ"))),IF(ISNUMBER(I414),IF(I414&lt;10,"ультра-НЧ",IF(I414&lt;100,"НЧ",IF(I414&lt;=1000,"СЧ","ВЧ"))),"нет данных"))</f>
        <v>нет данных</v>
      </c>
      <c r="L414" s="12" t="str">
        <f aca="false">IF(AND(ISNUMBER(G414),G414&gt;0,ISNUMBER(I414)),I414/G414,"")</f>
        <v/>
      </c>
      <c r="M414" s="10" t="s">
        <v>105</v>
      </c>
      <c r="N414" s="10" t="s">
        <v>654</v>
      </c>
      <c r="O414" s="10" t="s">
        <v>107</v>
      </c>
    </row>
    <row r="415" customFormat="false" ht="15" hidden="false" customHeight="false" outlineLevel="0" collapsed="false">
      <c r="A415" s="10" t="n">
        <v>414</v>
      </c>
      <c r="B415" s="10" t="s">
        <v>655</v>
      </c>
      <c r="C415" s="10" t="s">
        <v>522</v>
      </c>
      <c r="D415" s="10" t="s">
        <v>523</v>
      </c>
      <c r="E415" s="10" t="s">
        <v>92</v>
      </c>
      <c r="F415" s="10" t="s">
        <v>136</v>
      </c>
      <c r="G415" s="11" t="n">
        <v>64</v>
      </c>
      <c r="H415" s="11"/>
      <c r="I415" s="11"/>
      <c r="J415" s="11"/>
      <c r="K415" s="10" t="str">
        <f aca="false">IF(ISNUMBER(J415),IF(J415&lt;10,"ультра-НЧ",IF(J415&lt;100,"НЧ",IF(J415&lt;=1000,"СЧ","ВЧ"))),IF(ISNUMBER(I415),IF(I415&lt;10,"ультра-НЧ",IF(I415&lt;100,"НЧ",IF(I415&lt;=1000,"СЧ","ВЧ"))),"нет данных"))</f>
        <v>нет данных</v>
      </c>
      <c r="L415" s="12" t="str">
        <f aca="false">IF(AND(ISNUMBER(G415),G415&gt;0,ISNUMBER(I415)),I415/G415,"")</f>
        <v/>
      </c>
      <c r="M415" s="10" t="s">
        <v>105</v>
      </c>
      <c r="N415" s="10" t="s">
        <v>655</v>
      </c>
      <c r="O415" s="10" t="s">
        <v>107</v>
      </c>
    </row>
    <row r="416" customFormat="false" ht="15" hidden="false" customHeight="false" outlineLevel="0" collapsed="false">
      <c r="A416" s="10" t="n">
        <v>415</v>
      </c>
      <c r="B416" s="10" t="s">
        <v>656</v>
      </c>
      <c r="C416" s="10" t="s">
        <v>522</v>
      </c>
      <c r="D416" s="10" t="s">
        <v>523</v>
      </c>
      <c r="E416" s="10" t="s">
        <v>92</v>
      </c>
      <c r="F416" s="10" t="s">
        <v>136</v>
      </c>
      <c r="G416" s="11" t="n">
        <v>64</v>
      </c>
      <c r="H416" s="11"/>
      <c r="I416" s="11"/>
      <c r="J416" s="11"/>
      <c r="K416" s="10" t="str">
        <f aca="false">IF(ISNUMBER(J416),IF(J416&lt;10,"ультра-НЧ",IF(J416&lt;100,"НЧ",IF(J416&lt;=1000,"СЧ","ВЧ"))),IF(ISNUMBER(I416),IF(I416&lt;10,"ультра-НЧ",IF(I416&lt;100,"НЧ",IF(I416&lt;=1000,"СЧ","ВЧ"))),"нет данных"))</f>
        <v>нет данных</v>
      </c>
      <c r="L416" s="12" t="str">
        <f aca="false">IF(AND(ISNUMBER(G416),G416&gt;0,ISNUMBER(I416)),I416/G416,"")</f>
        <v/>
      </c>
      <c r="M416" s="10" t="s">
        <v>105</v>
      </c>
      <c r="N416" s="10" t="s">
        <v>657</v>
      </c>
      <c r="O416" s="10" t="s">
        <v>107</v>
      </c>
    </row>
    <row r="417" customFormat="false" ht="15" hidden="false" customHeight="false" outlineLevel="0" collapsed="false">
      <c r="A417" s="10" t="n">
        <v>416</v>
      </c>
      <c r="B417" s="10" t="s">
        <v>658</v>
      </c>
      <c r="C417" s="10" t="s">
        <v>522</v>
      </c>
      <c r="D417" s="10" t="s">
        <v>523</v>
      </c>
      <c r="E417" s="10" t="s">
        <v>92</v>
      </c>
      <c r="F417" s="10" t="s">
        <v>136</v>
      </c>
      <c r="G417" s="11" t="n">
        <v>62</v>
      </c>
      <c r="H417" s="11"/>
      <c r="I417" s="11"/>
      <c r="J417" s="11"/>
      <c r="K417" s="10" t="str">
        <f aca="false">IF(ISNUMBER(J417),IF(J417&lt;10,"ультра-НЧ",IF(J417&lt;100,"НЧ",IF(J417&lt;=1000,"СЧ","ВЧ"))),IF(ISNUMBER(I417),IF(I417&lt;10,"ультра-НЧ",IF(I417&lt;100,"НЧ",IF(I417&lt;=1000,"СЧ","ВЧ"))),"нет данных"))</f>
        <v>нет данных</v>
      </c>
      <c r="L417" s="12" t="str">
        <f aca="false">IF(AND(ISNUMBER(G417),G417&gt;0,ISNUMBER(I417)),I417/G417,"")</f>
        <v/>
      </c>
      <c r="M417" s="10" t="s">
        <v>105</v>
      </c>
      <c r="N417" s="10" t="s">
        <v>658</v>
      </c>
      <c r="O417" s="10" t="s">
        <v>107</v>
      </c>
    </row>
    <row r="418" customFormat="false" ht="15" hidden="false" customHeight="false" outlineLevel="0" collapsed="false">
      <c r="A418" s="10" t="n">
        <v>417</v>
      </c>
      <c r="B418" s="10" t="s">
        <v>659</v>
      </c>
      <c r="C418" s="10" t="s">
        <v>522</v>
      </c>
      <c r="D418" s="10" t="s">
        <v>523</v>
      </c>
      <c r="E418" s="10" t="s">
        <v>92</v>
      </c>
      <c r="F418" s="10" t="s">
        <v>136</v>
      </c>
      <c r="G418" s="11" t="n">
        <v>62</v>
      </c>
      <c r="H418" s="11"/>
      <c r="I418" s="11"/>
      <c r="J418" s="11"/>
      <c r="K418" s="10" t="str">
        <f aca="false">IF(ISNUMBER(J418),IF(J418&lt;10,"ультра-НЧ",IF(J418&lt;100,"НЧ",IF(J418&lt;=1000,"СЧ","ВЧ"))),IF(ISNUMBER(I418),IF(I418&lt;10,"ультра-НЧ",IF(I418&lt;100,"НЧ",IF(I418&lt;=1000,"СЧ","ВЧ"))),"нет данных"))</f>
        <v>нет данных</v>
      </c>
      <c r="L418" s="12" t="str">
        <f aca="false">IF(AND(ISNUMBER(G418),G418&gt;0,ISNUMBER(I418)),I418/G418,"")</f>
        <v/>
      </c>
      <c r="M418" s="10" t="s">
        <v>105</v>
      </c>
      <c r="N418" s="10" t="s">
        <v>659</v>
      </c>
      <c r="O418" s="10" t="s">
        <v>107</v>
      </c>
    </row>
    <row r="419" customFormat="false" ht="15" hidden="false" customHeight="false" outlineLevel="0" collapsed="false">
      <c r="A419" s="10" t="n">
        <v>418</v>
      </c>
      <c r="B419" s="10" t="s">
        <v>660</v>
      </c>
      <c r="C419" s="10" t="s">
        <v>522</v>
      </c>
      <c r="D419" s="10" t="s">
        <v>523</v>
      </c>
      <c r="E419" s="10" t="s">
        <v>92</v>
      </c>
      <c r="F419" s="10" t="s">
        <v>136</v>
      </c>
      <c r="G419" s="11" t="n">
        <v>61</v>
      </c>
      <c r="H419" s="11"/>
      <c r="I419" s="11"/>
      <c r="J419" s="11"/>
      <c r="K419" s="10" t="str">
        <f aca="false">IF(ISNUMBER(J419),IF(J419&lt;10,"ультра-НЧ",IF(J419&lt;100,"НЧ",IF(J419&lt;=1000,"СЧ","ВЧ"))),IF(ISNUMBER(I419),IF(I419&lt;10,"ультра-НЧ",IF(I419&lt;100,"НЧ",IF(I419&lt;=1000,"СЧ","ВЧ"))),"нет данных"))</f>
        <v>нет данных</v>
      </c>
      <c r="L419" s="12" t="str">
        <f aca="false">IF(AND(ISNUMBER(G419),G419&gt;0,ISNUMBER(I419)),I419/G419,"")</f>
        <v/>
      </c>
      <c r="M419" s="10" t="s">
        <v>105</v>
      </c>
      <c r="N419" s="10" t="s">
        <v>660</v>
      </c>
      <c r="O419" s="10" t="s">
        <v>107</v>
      </c>
    </row>
    <row r="420" customFormat="false" ht="15" hidden="false" customHeight="false" outlineLevel="0" collapsed="false">
      <c r="A420" s="10" t="n">
        <v>419</v>
      </c>
      <c r="B420" s="10" t="s">
        <v>661</v>
      </c>
      <c r="C420" s="10" t="s">
        <v>522</v>
      </c>
      <c r="D420" s="10" t="s">
        <v>523</v>
      </c>
      <c r="E420" s="10" t="s">
        <v>92</v>
      </c>
      <c r="F420" s="10" t="s">
        <v>136</v>
      </c>
      <c r="G420" s="11" t="n">
        <v>61</v>
      </c>
      <c r="H420" s="11"/>
      <c r="I420" s="11"/>
      <c r="J420" s="11"/>
      <c r="K420" s="10" t="str">
        <f aca="false">IF(ISNUMBER(J420),IF(J420&lt;10,"ультра-НЧ",IF(J420&lt;100,"НЧ",IF(J420&lt;=1000,"СЧ","ВЧ"))),IF(ISNUMBER(I420),IF(I420&lt;10,"ультра-НЧ",IF(I420&lt;100,"НЧ",IF(I420&lt;=1000,"СЧ","ВЧ"))),"нет данных"))</f>
        <v>нет данных</v>
      </c>
      <c r="L420" s="12" t="str">
        <f aca="false">IF(AND(ISNUMBER(G420),G420&gt;0,ISNUMBER(I420)),I420/G420,"")</f>
        <v/>
      </c>
      <c r="M420" s="10" t="s">
        <v>105</v>
      </c>
      <c r="N420" s="10" t="s">
        <v>661</v>
      </c>
      <c r="O420" s="10" t="s">
        <v>107</v>
      </c>
    </row>
    <row r="421" customFormat="false" ht="15" hidden="false" customHeight="false" outlineLevel="0" collapsed="false">
      <c r="A421" s="10" t="n">
        <v>420</v>
      </c>
      <c r="B421" s="10" t="s">
        <v>662</v>
      </c>
      <c r="C421" s="10" t="s">
        <v>522</v>
      </c>
      <c r="D421" s="10" t="s">
        <v>523</v>
      </c>
      <c r="E421" s="10" t="s">
        <v>92</v>
      </c>
      <c r="F421" s="10" t="s">
        <v>136</v>
      </c>
      <c r="G421" s="11" t="n">
        <v>61</v>
      </c>
      <c r="H421" s="11"/>
      <c r="I421" s="11"/>
      <c r="J421" s="11"/>
      <c r="K421" s="10" t="str">
        <f aca="false">IF(ISNUMBER(J421),IF(J421&lt;10,"ультра-НЧ",IF(J421&lt;100,"НЧ",IF(J421&lt;=1000,"СЧ","ВЧ"))),IF(ISNUMBER(I421),IF(I421&lt;10,"ультра-НЧ",IF(I421&lt;100,"НЧ",IF(I421&lt;=1000,"СЧ","ВЧ"))),"нет данных"))</f>
        <v>нет данных</v>
      </c>
      <c r="L421" s="12" t="str">
        <f aca="false">IF(AND(ISNUMBER(G421),G421&gt;0,ISNUMBER(I421)),I421/G421,"")</f>
        <v/>
      </c>
      <c r="M421" s="10" t="s">
        <v>105</v>
      </c>
      <c r="N421" s="10" t="s">
        <v>663</v>
      </c>
      <c r="O421" s="10" t="s">
        <v>107</v>
      </c>
    </row>
    <row r="422" customFormat="false" ht="15" hidden="false" customHeight="false" outlineLevel="0" collapsed="false">
      <c r="A422" s="10" t="n">
        <v>421</v>
      </c>
      <c r="B422" s="10" t="s">
        <v>664</v>
      </c>
      <c r="C422" s="10" t="s">
        <v>522</v>
      </c>
      <c r="D422" s="10" t="s">
        <v>523</v>
      </c>
      <c r="E422" s="10" t="s">
        <v>92</v>
      </c>
      <c r="F422" s="10" t="s">
        <v>136</v>
      </c>
      <c r="G422" s="11" t="n">
        <v>61</v>
      </c>
      <c r="H422" s="11"/>
      <c r="I422" s="11"/>
      <c r="J422" s="11"/>
      <c r="K422" s="10" t="str">
        <f aca="false">IF(ISNUMBER(J422),IF(J422&lt;10,"ультра-НЧ",IF(J422&lt;100,"НЧ",IF(J422&lt;=1000,"СЧ","ВЧ"))),IF(ISNUMBER(I422),IF(I422&lt;10,"ультра-НЧ",IF(I422&lt;100,"НЧ",IF(I422&lt;=1000,"СЧ","ВЧ"))),"нет данных"))</f>
        <v>нет данных</v>
      </c>
      <c r="L422" s="12" t="str">
        <f aca="false">IF(AND(ISNUMBER(G422),G422&gt;0,ISNUMBER(I422)),I422/G422,"")</f>
        <v/>
      </c>
      <c r="M422" s="10" t="s">
        <v>105</v>
      </c>
      <c r="N422" s="10" t="s">
        <v>664</v>
      </c>
      <c r="O422" s="10" t="s">
        <v>107</v>
      </c>
    </row>
    <row r="423" customFormat="false" ht="15" hidden="false" customHeight="false" outlineLevel="0" collapsed="false">
      <c r="A423" s="10" t="n">
        <v>422</v>
      </c>
      <c r="B423" s="10" t="s">
        <v>665</v>
      </c>
      <c r="C423" s="10" t="s">
        <v>522</v>
      </c>
      <c r="D423" s="10" t="s">
        <v>523</v>
      </c>
      <c r="E423" s="10" t="s">
        <v>92</v>
      </c>
      <c r="F423" s="10" t="s">
        <v>136</v>
      </c>
      <c r="G423" s="11" t="n">
        <v>61</v>
      </c>
      <c r="H423" s="11"/>
      <c r="I423" s="11"/>
      <c r="J423" s="11"/>
      <c r="K423" s="10" t="str">
        <f aca="false">IF(ISNUMBER(J423),IF(J423&lt;10,"ультра-НЧ",IF(J423&lt;100,"НЧ",IF(J423&lt;=1000,"СЧ","ВЧ"))),IF(ISNUMBER(I423),IF(I423&lt;10,"ультра-НЧ",IF(I423&lt;100,"НЧ",IF(I423&lt;=1000,"СЧ","ВЧ"))),"нет данных"))</f>
        <v>нет данных</v>
      </c>
      <c r="L423" s="12" t="str">
        <f aca="false">IF(AND(ISNUMBER(G423),G423&gt;0,ISNUMBER(I423)),I423/G423,"")</f>
        <v/>
      </c>
      <c r="M423" s="10" t="s">
        <v>105</v>
      </c>
      <c r="N423" s="10" t="s">
        <v>665</v>
      </c>
      <c r="O423" s="10" t="s">
        <v>107</v>
      </c>
    </row>
    <row r="424" customFormat="false" ht="15" hidden="false" customHeight="false" outlineLevel="0" collapsed="false">
      <c r="A424" s="10" t="n">
        <v>423</v>
      </c>
      <c r="B424" s="10" t="s">
        <v>666</v>
      </c>
      <c r="C424" s="10" t="s">
        <v>522</v>
      </c>
      <c r="D424" s="10" t="s">
        <v>523</v>
      </c>
      <c r="E424" s="10" t="s">
        <v>92</v>
      </c>
      <c r="F424" s="10" t="s">
        <v>136</v>
      </c>
      <c r="G424" s="11" t="n">
        <v>59</v>
      </c>
      <c r="H424" s="11"/>
      <c r="I424" s="11"/>
      <c r="J424" s="11"/>
      <c r="K424" s="10" t="str">
        <f aca="false">IF(ISNUMBER(J424),IF(J424&lt;10,"ультра-НЧ",IF(J424&lt;100,"НЧ",IF(J424&lt;=1000,"СЧ","ВЧ"))),IF(ISNUMBER(I424),IF(I424&lt;10,"ультра-НЧ",IF(I424&lt;100,"НЧ",IF(I424&lt;=1000,"СЧ","ВЧ"))),"нет данных"))</f>
        <v>нет данных</v>
      </c>
      <c r="L424" s="12" t="str">
        <f aca="false">IF(AND(ISNUMBER(G424),G424&gt;0,ISNUMBER(I424)),I424/G424,"")</f>
        <v/>
      </c>
      <c r="M424" s="10" t="s">
        <v>105</v>
      </c>
      <c r="N424" s="10" t="s">
        <v>666</v>
      </c>
      <c r="O424" s="10" t="s">
        <v>107</v>
      </c>
    </row>
    <row r="425" customFormat="false" ht="15" hidden="false" customHeight="false" outlineLevel="0" collapsed="false">
      <c r="A425" s="10" t="n">
        <v>424</v>
      </c>
      <c r="B425" s="10" t="s">
        <v>667</v>
      </c>
      <c r="C425" s="10" t="s">
        <v>522</v>
      </c>
      <c r="D425" s="10" t="s">
        <v>523</v>
      </c>
      <c r="E425" s="10" t="s">
        <v>92</v>
      </c>
      <c r="F425" s="10" t="s">
        <v>136</v>
      </c>
      <c r="G425" s="11" t="n">
        <v>58</v>
      </c>
      <c r="H425" s="11"/>
      <c r="I425" s="11"/>
      <c r="J425" s="11"/>
      <c r="K425" s="10" t="str">
        <f aca="false">IF(ISNUMBER(J425),IF(J425&lt;10,"ультра-НЧ",IF(J425&lt;100,"НЧ",IF(J425&lt;=1000,"СЧ","ВЧ"))),IF(ISNUMBER(I425),IF(I425&lt;10,"ультра-НЧ",IF(I425&lt;100,"НЧ",IF(I425&lt;=1000,"СЧ","ВЧ"))),"нет данных"))</f>
        <v>нет данных</v>
      </c>
      <c r="L425" s="12" t="str">
        <f aca="false">IF(AND(ISNUMBER(G425),G425&gt;0,ISNUMBER(I425)),I425/G425,"")</f>
        <v/>
      </c>
      <c r="M425" s="10" t="s">
        <v>105</v>
      </c>
      <c r="N425" s="10" t="s">
        <v>667</v>
      </c>
      <c r="O425" s="10" t="s">
        <v>107</v>
      </c>
    </row>
    <row r="426" customFormat="false" ht="15" hidden="false" customHeight="false" outlineLevel="0" collapsed="false">
      <c r="A426" s="10" t="n">
        <v>425</v>
      </c>
      <c r="B426" s="10" t="s">
        <v>668</v>
      </c>
      <c r="C426" s="10" t="s">
        <v>522</v>
      </c>
      <c r="D426" s="10" t="s">
        <v>523</v>
      </c>
      <c r="E426" s="10" t="s">
        <v>92</v>
      </c>
      <c r="F426" s="10" t="s">
        <v>136</v>
      </c>
      <c r="G426" s="11" t="n">
        <v>58</v>
      </c>
      <c r="H426" s="11"/>
      <c r="I426" s="11"/>
      <c r="J426" s="11"/>
      <c r="K426" s="10" t="str">
        <f aca="false">IF(ISNUMBER(J426),IF(J426&lt;10,"ультра-НЧ",IF(J426&lt;100,"НЧ",IF(J426&lt;=1000,"СЧ","ВЧ"))),IF(ISNUMBER(I426),IF(I426&lt;10,"ультра-НЧ",IF(I426&lt;100,"НЧ",IF(I426&lt;=1000,"СЧ","ВЧ"))),"нет данных"))</f>
        <v>нет данных</v>
      </c>
      <c r="L426" s="12" t="str">
        <f aca="false">IF(AND(ISNUMBER(G426),G426&gt;0,ISNUMBER(I426)),I426/G426,"")</f>
        <v/>
      </c>
      <c r="M426" s="10" t="s">
        <v>105</v>
      </c>
      <c r="N426" s="10" t="s">
        <v>668</v>
      </c>
      <c r="O426" s="10" t="s">
        <v>107</v>
      </c>
    </row>
    <row r="427" customFormat="false" ht="15" hidden="false" customHeight="false" outlineLevel="0" collapsed="false">
      <c r="A427" s="10" t="n">
        <v>426</v>
      </c>
      <c r="B427" s="10" t="s">
        <v>669</v>
      </c>
      <c r="C427" s="10" t="s">
        <v>522</v>
      </c>
      <c r="D427" s="10" t="s">
        <v>523</v>
      </c>
      <c r="E427" s="10" t="s">
        <v>92</v>
      </c>
      <c r="F427" s="10" t="s">
        <v>136</v>
      </c>
      <c r="G427" s="11" t="n">
        <v>58</v>
      </c>
      <c r="H427" s="11"/>
      <c r="I427" s="11"/>
      <c r="J427" s="11"/>
      <c r="K427" s="10" t="str">
        <f aca="false">IF(ISNUMBER(J427),IF(J427&lt;10,"ультра-НЧ",IF(J427&lt;100,"НЧ",IF(J427&lt;=1000,"СЧ","ВЧ"))),IF(ISNUMBER(I427),IF(I427&lt;10,"ультра-НЧ",IF(I427&lt;100,"НЧ",IF(I427&lt;=1000,"СЧ","ВЧ"))),"нет данных"))</f>
        <v>нет данных</v>
      </c>
      <c r="L427" s="12" t="str">
        <f aca="false">IF(AND(ISNUMBER(G427),G427&gt;0,ISNUMBER(I427)),I427/G427,"")</f>
        <v/>
      </c>
      <c r="M427" s="10" t="s">
        <v>105</v>
      </c>
      <c r="N427" s="10" t="s">
        <v>669</v>
      </c>
      <c r="O427" s="10" t="s">
        <v>107</v>
      </c>
    </row>
    <row r="428" customFormat="false" ht="15" hidden="false" customHeight="false" outlineLevel="0" collapsed="false">
      <c r="A428" s="10" t="n">
        <v>427</v>
      </c>
      <c r="B428" s="10" t="s">
        <v>670</v>
      </c>
      <c r="C428" s="10" t="s">
        <v>522</v>
      </c>
      <c r="D428" s="10" t="s">
        <v>523</v>
      </c>
      <c r="E428" s="10" t="s">
        <v>92</v>
      </c>
      <c r="F428" s="10" t="s">
        <v>136</v>
      </c>
      <c r="G428" s="11" t="n">
        <v>57</v>
      </c>
      <c r="H428" s="11"/>
      <c r="I428" s="11"/>
      <c r="J428" s="11"/>
      <c r="K428" s="10" t="str">
        <f aca="false">IF(ISNUMBER(J428),IF(J428&lt;10,"ультра-НЧ",IF(J428&lt;100,"НЧ",IF(J428&lt;=1000,"СЧ","ВЧ"))),IF(ISNUMBER(I428),IF(I428&lt;10,"ультра-НЧ",IF(I428&lt;100,"НЧ",IF(I428&lt;=1000,"СЧ","ВЧ"))),"нет данных"))</f>
        <v>нет данных</v>
      </c>
      <c r="L428" s="12" t="str">
        <f aca="false">IF(AND(ISNUMBER(G428),G428&gt;0,ISNUMBER(I428)),I428/G428,"")</f>
        <v/>
      </c>
      <c r="M428" s="10" t="s">
        <v>105</v>
      </c>
      <c r="N428" s="10" t="s">
        <v>670</v>
      </c>
      <c r="O428" s="10" t="s">
        <v>107</v>
      </c>
    </row>
    <row r="429" customFormat="false" ht="15" hidden="false" customHeight="false" outlineLevel="0" collapsed="false">
      <c r="A429" s="10" t="n">
        <v>428</v>
      </c>
      <c r="B429" s="10" t="s">
        <v>671</v>
      </c>
      <c r="C429" s="10" t="s">
        <v>522</v>
      </c>
      <c r="D429" s="10" t="s">
        <v>523</v>
      </c>
      <c r="E429" s="10" t="s">
        <v>92</v>
      </c>
      <c r="F429" s="10" t="s">
        <v>136</v>
      </c>
      <c r="G429" s="11" t="n">
        <v>56</v>
      </c>
      <c r="H429" s="11"/>
      <c r="I429" s="11"/>
      <c r="J429" s="11"/>
      <c r="K429" s="10" t="str">
        <f aca="false">IF(ISNUMBER(J429),IF(J429&lt;10,"ультра-НЧ",IF(J429&lt;100,"НЧ",IF(J429&lt;=1000,"СЧ","ВЧ"))),IF(ISNUMBER(I429),IF(I429&lt;10,"ультра-НЧ",IF(I429&lt;100,"НЧ",IF(I429&lt;=1000,"СЧ","ВЧ"))),"нет данных"))</f>
        <v>нет данных</v>
      </c>
      <c r="L429" s="12" t="str">
        <f aca="false">IF(AND(ISNUMBER(G429),G429&gt;0,ISNUMBER(I429)),I429/G429,"")</f>
        <v/>
      </c>
      <c r="M429" s="10" t="s">
        <v>105</v>
      </c>
      <c r="N429" s="10" t="s">
        <v>671</v>
      </c>
      <c r="O429" s="10" t="s">
        <v>107</v>
      </c>
    </row>
    <row r="430" customFormat="false" ht="15" hidden="false" customHeight="false" outlineLevel="0" collapsed="false">
      <c r="A430" s="10" t="n">
        <v>429</v>
      </c>
      <c r="B430" s="10" t="s">
        <v>672</v>
      </c>
      <c r="C430" s="10" t="s">
        <v>522</v>
      </c>
      <c r="D430" s="10" t="s">
        <v>523</v>
      </c>
      <c r="E430" s="10" t="s">
        <v>92</v>
      </c>
      <c r="F430" s="10" t="s">
        <v>136</v>
      </c>
      <c r="G430" s="11" t="n">
        <v>56</v>
      </c>
      <c r="H430" s="11"/>
      <c r="I430" s="11"/>
      <c r="J430" s="11"/>
      <c r="K430" s="10" t="str">
        <f aca="false">IF(ISNUMBER(J430),IF(J430&lt;10,"ультра-НЧ",IF(J430&lt;100,"НЧ",IF(J430&lt;=1000,"СЧ","ВЧ"))),IF(ISNUMBER(I430),IF(I430&lt;10,"ультра-НЧ",IF(I430&lt;100,"НЧ",IF(I430&lt;=1000,"СЧ","ВЧ"))),"нет данных"))</f>
        <v>нет данных</v>
      </c>
      <c r="L430" s="12" t="str">
        <f aca="false">IF(AND(ISNUMBER(G430),G430&gt;0,ISNUMBER(I430)),I430/G430,"")</f>
        <v/>
      </c>
      <c r="M430" s="10" t="s">
        <v>105</v>
      </c>
      <c r="N430" s="10" t="s">
        <v>672</v>
      </c>
      <c r="O430" s="10" t="s">
        <v>107</v>
      </c>
    </row>
    <row r="431" customFormat="false" ht="15" hidden="false" customHeight="false" outlineLevel="0" collapsed="false">
      <c r="A431" s="10" t="n">
        <v>430</v>
      </c>
      <c r="B431" s="10" t="s">
        <v>673</v>
      </c>
      <c r="C431" s="10" t="s">
        <v>522</v>
      </c>
      <c r="D431" s="10" t="s">
        <v>523</v>
      </c>
      <c r="E431" s="10" t="s">
        <v>92</v>
      </c>
      <c r="F431" s="10" t="s">
        <v>136</v>
      </c>
      <c r="G431" s="11" t="n">
        <v>56</v>
      </c>
      <c r="H431" s="11"/>
      <c r="I431" s="11"/>
      <c r="J431" s="11"/>
      <c r="K431" s="10" t="str">
        <f aca="false">IF(ISNUMBER(J431),IF(J431&lt;10,"ультра-НЧ",IF(J431&lt;100,"НЧ",IF(J431&lt;=1000,"СЧ","ВЧ"))),IF(ISNUMBER(I431),IF(I431&lt;10,"ультра-НЧ",IF(I431&lt;100,"НЧ",IF(I431&lt;=1000,"СЧ","ВЧ"))),"нет данных"))</f>
        <v>нет данных</v>
      </c>
      <c r="L431" s="12" t="str">
        <f aca="false">IF(AND(ISNUMBER(G431),G431&gt;0,ISNUMBER(I431)),I431/G431,"")</f>
        <v/>
      </c>
      <c r="M431" s="10" t="s">
        <v>105</v>
      </c>
      <c r="N431" s="10" t="s">
        <v>673</v>
      </c>
      <c r="O431" s="10" t="s">
        <v>107</v>
      </c>
    </row>
    <row r="432" customFormat="false" ht="15" hidden="false" customHeight="false" outlineLevel="0" collapsed="false">
      <c r="A432" s="10" t="n">
        <v>431</v>
      </c>
      <c r="B432" s="10" t="s">
        <v>674</v>
      </c>
      <c r="C432" s="10" t="s">
        <v>522</v>
      </c>
      <c r="D432" s="10" t="s">
        <v>523</v>
      </c>
      <c r="E432" s="10" t="s">
        <v>92</v>
      </c>
      <c r="F432" s="10" t="s">
        <v>136</v>
      </c>
      <c r="G432" s="11" t="n">
        <v>55</v>
      </c>
      <c r="H432" s="11"/>
      <c r="I432" s="11"/>
      <c r="J432" s="11"/>
      <c r="K432" s="10" t="str">
        <f aca="false">IF(ISNUMBER(J432),IF(J432&lt;10,"ультра-НЧ",IF(J432&lt;100,"НЧ",IF(J432&lt;=1000,"СЧ","ВЧ"))),IF(ISNUMBER(I432),IF(I432&lt;10,"ультра-НЧ",IF(I432&lt;100,"НЧ",IF(I432&lt;=1000,"СЧ","ВЧ"))),"нет данных"))</f>
        <v>нет данных</v>
      </c>
      <c r="L432" s="12" t="str">
        <f aca="false">IF(AND(ISNUMBER(G432),G432&gt;0,ISNUMBER(I432)),I432/G432,"")</f>
        <v/>
      </c>
      <c r="M432" s="10" t="s">
        <v>94</v>
      </c>
      <c r="N432" s="10" t="s">
        <v>674</v>
      </c>
      <c r="O432" s="10"/>
    </row>
    <row r="433" customFormat="false" ht="15" hidden="false" customHeight="false" outlineLevel="0" collapsed="false">
      <c r="A433" s="10" t="n">
        <v>432</v>
      </c>
      <c r="B433" s="10" t="s">
        <v>675</v>
      </c>
      <c r="C433" s="10" t="s">
        <v>522</v>
      </c>
      <c r="D433" s="10" t="s">
        <v>523</v>
      </c>
      <c r="E433" s="10" t="s">
        <v>92</v>
      </c>
      <c r="F433" s="10" t="s">
        <v>136</v>
      </c>
      <c r="G433" s="11" t="n">
        <v>55</v>
      </c>
      <c r="H433" s="11"/>
      <c r="I433" s="11"/>
      <c r="J433" s="11"/>
      <c r="K433" s="10" t="str">
        <f aca="false">IF(ISNUMBER(J433),IF(J433&lt;10,"ультра-НЧ",IF(J433&lt;100,"НЧ",IF(J433&lt;=1000,"СЧ","ВЧ"))),IF(ISNUMBER(I433),IF(I433&lt;10,"ультра-НЧ",IF(I433&lt;100,"НЧ",IF(I433&lt;=1000,"СЧ","ВЧ"))),"нет данных"))</f>
        <v>нет данных</v>
      </c>
      <c r="L433" s="12" t="str">
        <f aca="false">IF(AND(ISNUMBER(G433),G433&gt;0,ISNUMBER(I433)),I433/G433,"")</f>
        <v/>
      </c>
      <c r="M433" s="10" t="s">
        <v>105</v>
      </c>
      <c r="N433" s="10" t="s">
        <v>676</v>
      </c>
      <c r="O433" s="10" t="s">
        <v>107</v>
      </c>
    </row>
    <row r="434" customFormat="false" ht="15" hidden="false" customHeight="false" outlineLevel="0" collapsed="false">
      <c r="A434" s="10" t="n">
        <v>433</v>
      </c>
      <c r="B434" s="10" t="s">
        <v>677</v>
      </c>
      <c r="C434" s="10" t="s">
        <v>522</v>
      </c>
      <c r="D434" s="10" t="s">
        <v>523</v>
      </c>
      <c r="E434" s="10" t="s">
        <v>92</v>
      </c>
      <c r="F434" s="10" t="s">
        <v>136</v>
      </c>
      <c r="G434" s="11" t="n">
        <v>54</v>
      </c>
      <c r="H434" s="11"/>
      <c r="I434" s="11"/>
      <c r="J434" s="11"/>
      <c r="K434" s="10" t="str">
        <f aca="false">IF(ISNUMBER(J434),IF(J434&lt;10,"ультра-НЧ",IF(J434&lt;100,"НЧ",IF(J434&lt;=1000,"СЧ","ВЧ"))),IF(ISNUMBER(I434),IF(I434&lt;10,"ультра-НЧ",IF(I434&lt;100,"НЧ",IF(I434&lt;=1000,"СЧ","ВЧ"))),"нет данных"))</f>
        <v>нет данных</v>
      </c>
      <c r="L434" s="12" t="str">
        <f aca="false">IF(AND(ISNUMBER(G434),G434&gt;0,ISNUMBER(I434)),I434/G434,"")</f>
        <v/>
      </c>
      <c r="M434" s="10" t="s">
        <v>105</v>
      </c>
      <c r="N434" s="10" t="s">
        <v>677</v>
      </c>
      <c r="O434" s="10" t="s">
        <v>107</v>
      </c>
    </row>
    <row r="435" customFormat="false" ht="15" hidden="false" customHeight="false" outlineLevel="0" collapsed="false">
      <c r="A435" s="10" t="n">
        <v>434</v>
      </c>
      <c r="B435" s="10" t="s">
        <v>678</v>
      </c>
      <c r="C435" s="10" t="s">
        <v>522</v>
      </c>
      <c r="D435" s="10" t="s">
        <v>523</v>
      </c>
      <c r="E435" s="10" t="s">
        <v>92</v>
      </c>
      <c r="F435" s="10" t="s">
        <v>136</v>
      </c>
      <c r="G435" s="11" t="n">
        <v>54</v>
      </c>
      <c r="H435" s="11"/>
      <c r="I435" s="11"/>
      <c r="J435" s="11"/>
      <c r="K435" s="10" t="str">
        <f aca="false">IF(ISNUMBER(J435),IF(J435&lt;10,"ультра-НЧ",IF(J435&lt;100,"НЧ",IF(J435&lt;=1000,"СЧ","ВЧ"))),IF(ISNUMBER(I435),IF(I435&lt;10,"ультра-НЧ",IF(I435&lt;100,"НЧ",IF(I435&lt;=1000,"СЧ","ВЧ"))),"нет данных"))</f>
        <v>нет данных</v>
      </c>
      <c r="L435" s="12" t="str">
        <f aca="false">IF(AND(ISNUMBER(G435),G435&gt;0,ISNUMBER(I435)),I435/G435,"")</f>
        <v/>
      </c>
      <c r="M435" s="10" t="s">
        <v>105</v>
      </c>
      <c r="N435" s="10" t="s">
        <v>678</v>
      </c>
      <c r="O435" s="10" t="s">
        <v>107</v>
      </c>
    </row>
    <row r="436" customFormat="false" ht="15" hidden="false" customHeight="false" outlineLevel="0" collapsed="false">
      <c r="A436" s="10" t="n">
        <v>435</v>
      </c>
      <c r="B436" s="10" t="s">
        <v>679</v>
      </c>
      <c r="C436" s="10" t="s">
        <v>522</v>
      </c>
      <c r="D436" s="10" t="s">
        <v>523</v>
      </c>
      <c r="E436" s="10" t="s">
        <v>92</v>
      </c>
      <c r="F436" s="10" t="s">
        <v>136</v>
      </c>
      <c r="G436" s="11" t="n">
        <v>54</v>
      </c>
      <c r="H436" s="11"/>
      <c r="I436" s="11"/>
      <c r="J436" s="11"/>
      <c r="K436" s="10" t="str">
        <f aca="false">IF(ISNUMBER(J436),IF(J436&lt;10,"ультра-НЧ",IF(J436&lt;100,"НЧ",IF(J436&lt;=1000,"СЧ","ВЧ"))),IF(ISNUMBER(I436),IF(I436&lt;10,"ультра-НЧ",IF(I436&lt;100,"НЧ",IF(I436&lt;=1000,"СЧ","ВЧ"))),"нет данных"))</f>
        <v>нет данных</v>
      </c>
      <c r="L436" s="12" t="str">
        <f aca="false">IF(AND(ISNUMBER(G436),G436&gt;0,ISNUMBER(I436)),I436/G436,"")</f>
        <v/>
      </c>
      <c r="M436" s="10" t="s">
        <v>105</v>
      </c>
      <c r="N436" s="10" t="s">
        <v>679</v>
      </c>
      <c r="O436" s="10" t="s">
        <v>107</v>
      </c>
    </row>
    <row r="437" customFormat="false" ht="15" hidden="false" customHeight="false" outlineLevel="0" collapsed="false">
      <c r="A437" s="10" t="n">
        <v>436</v>
      </c>
      <c r="B437" s="10" t="s">
        <v>680</v>
      </c>
      <c r="C437" s="10" t="s">
        <v>522</v>
      </c>
      <c r="D437" s="10" t="s">
        <v>523</v>
      </c>
      <c r="E437" s="10" t="s">
        <v>92</v>
      </c>
      <c r="F437" s="10" t="s">
        <v>136</v>
      </c>
      <c r="G437" s="11" t="n">
        <v>54</v>
      </c>
      <c r="H437" s="11"/>
      <c r="I437" s="11"/>
      <c r="J437" s="11"/>
      <c r="K437" s="10" t="str">
        <f aca="false">IF(ISNUMBER(J437),IF(J437&lt;10,"ультра-НЧ",IF(J437&lt;100,"НЧ",IF(J437&lt;=1000,"СЧ","ВЧ"))),IF(ISNUMBER(I437),IF(I437&lt;10,"ультра-НЧ",IF(I437&lt;100,"НЧ",IF(I437&lt;=1000,"СЧ","ВЧ"))),"нет данных"))</f>
        <v>нет данных</v>
      </c>
      <c r="L437" s="12" t="str">
        <f aca="false">IF(AND(ISNUMBER(G437),G437&gt;0,ISNUMBER(I437)),I437/G437,"")</f>
        <v/>
      </c>
      <c r="M437" s="10" t="s">
        <v>105</v>
      </c>
      <c r="N437" s="10" t="s">
        <v>680</v>
      </c>
      <c r="O437" s="10" t="s">
        <v>107</v>
      </c>
    </row>
    <row r="438" customFormat="false" ht="15" hidden="false" customHeight="false" outlineLevel="0" collapsed="false">
      <c r="A438" s="10" t="n">
        <v>437</v>
      </c>
      <c r="B438" s="10" t="s">
        <v>681</v>
      </c>
      <c r="C438" s="10" t="s">
        <v>522</v>
      </c>
      <c r="D438" s="10" t="s">
        <v>523</v>
      </c>
      <c r="E438" s="10" t="s">
        <v>92</v>
      </c>
      <c r="F438" s="10" t="s">
        <v>136</v>
      </c>
      <c r="G438" s="11" t="n">
        <v>53</v>
      </c>
      <c r="H438" s="11"/>
      <c r="I438" s="11"/>
      <c r="J438" s="11"/>
      <c r="K438" s="10" t="str">
        <f aca="false">IF(ISNUMBER(J438),IF(J438&lt;10,"ультра-НЧ",IF(J438&lt;100,"НЧ",IF(J438&lt;=1000,"СЧ","ВЧ"))),IF(ISNUMBER(I438),IF(I438&lt;10,"ультра-НЧ",IF(I438&lt;100,"НЧ",IF(I438&lt;=1000,"СЧ","ВЧ"))),"нет данных"))</f>
        <v>нет данных</v>
      </c>
      <c r="L438" s="12" t="str">
        <f aca="false">IF(AND(ISNUMBER(G438),G438&gt;0,ISNUMBER(I438)),I438/G438,"")</f>
        <v/>
      </c>
      <c r="M438" s="10" t="s">
        <v>105</v>
      </c>
      <c r="N438" s="10" t="s">
        <v>681</v>
      </c>
      <c r="O438" s="10" t="s">
        <v>107</v>
      </c>
    </row>
    <row r="439" customFormat="false" ht="15" hidden="false" customHeight="false" outlineLevel="0" collapsed="false">
      <c r="A439" s="10" t="n">
        <v>438</v>
      </c>
      <c r="B439" s="10" t="s">
        <v>682</v>
      </c>
      <c r="C439" s="10" t="s">
        <v>522</v>
      </c>
      <c r="D439" s="10" t="s">
        <v>523</v>
      </c>
      <c r="E439" s="10" t="s">
        <v>92</v>
      </c>
      <c r="F439" s="10" t="s">
        <v>136</v>
      </c>
      <c r="G439" s="11" t="n">
        <v>53</v>
      </c>
      <c r="H439" s="11"/>
      <c r="I439" s="11"/>
      <c r="J439" s="11"/>
      <c r="K439" s="10" t="str">
        <f aca="false">IF(ISNUMBER(J439),IF(J439&lt;10,"ультра-НЧ",IF(J439&lt;100,"НЧ",IF(J439&lt;=1000,"СЧ","ВЧ"))),IF(ISNUMBER(I439),IF(I439&lt;10,"ультра-НЧ",IF(I439&lt;100,"НЧ",IF(I439&lt;=1000,"СЧ","ВЧ"))),"нет данных"))</f>
        <v>нет данных</v>
      </c>
      <c r="L439" s="12" t="str">
        <f aca="false">IF(AND(ISNUMBER(G439),G439&gt;0,ISNUMBER(I439)),I439/G439,"")</f>
        <v/>
      </c>
      <c r="M439" s="10" t="s">
        <v>105</v>
      </c>
      <c r="N439" s="10" t="s">
        <v>682</v>
      </c>
      <c r="O439" s="10" t="s">
        <v>107</v>
      </c>
    </row>
    <row r="440" customFormat="false" ht="15" hidden="false" customHeight="false" outlineLevel="0" collapsed="false">
      <c r="A440" s="10" t="n">
        <v>439</v>
      </c>
      <c r="B440" s="10" t="s">
        <v>683</v>
      </c>
      <c r="C440" s="10" t="s">
        <v>522</v>
      </c>
      <c r="D440" s="10" t="s">
        <v>523</v>
      </c>
      <c r="E440" s="10" t="s">
        <v>92</v>
      </c>
      <c r="F440" s="10" t="s">
        <v>136</v>
      </c>
      <c r="G440" s="11" t="n">
        <v>51</v>
      </c>
      <c r="H440" s="11"/>
      <c r="I440" s="11"/>
      <c r="J440" s="11"/>
      <c r="K440" s="10" t="str">
        <f aca="false">IF(ISNUMBER(J440),IF(J440&lt;10,"ультра-НЧ",IF(J440&lt;100,"НЧ",IF(J440&lt;=1000,"СЧ","ВЧ"))),IF(ISNUMBER(I440),IF(I440&lt;10,"ультра-НЧ",IF(I440&lt;100,"НЧ",IF(I440&lt;=1000,"СЧ","ВЧ"))),"нет данных"))</f>
        <v>нет данных</v>
      </c>
      <c r="L440" s="12" t="str">
        <f aca="false">IF(AND(ISNUMBER(G440),G440&gt;0,ISNUMBER(I440)),I440/G440,"")</f>
        <v/>
      </c>
      <c r="M440" s="10" t="s">
        <v>105</v>
      </c>
      <c r="N440" s="10" t="s">
        <v>683</v>
      </c>
      <c r="O440" s="10" t="s">
        <v>107</v>
      </c>
    </row>
    <row r="441" customFormat="false" ht="15" hidden="false" customHeight="false" outlineLevel="0" collapsed="false">
      <c r="A441" s="10" t="n">
        <v>440</v>
      </c>
      <c r="B441" s="10" t="s">
        <v>684</v>
      </c>
      <c r="C441" s="10" t="s">
        <v>522</v>
      </c>
      <c r="D441" s="10" t="s">
        <v>523</v>
      </c>
      <c r="E441" s="10" t="s">
        <v>92</v>
      </c>
      <c r="F441" s="10" t="s">
        <v>136</v>
      </c>
      <c r="G441" s="11" t="n">
        <v>51</v>
      </c>
      <c r="H441" s="11"/>
      <c r="I441" s="11"/>
      <c r="J441" s="11"/>
      <c r="K441" s="10" t="str">
        <f aca="false">IF(ISNUMBER(J441),IF(J441&lt;10,"ультра-НЧ",IF(J441&lt;100,"НЧ",IF(J441&lt;=1000,"СЧ","ВЧ"))),IF(ISNUMBER(I441),IF(I441&lt;10,"ультра-НЧ",IF(I441&lt;100,"НЧ",IF(I441&lt;=1000,"СЧ","ВЧ"))),"нет данных"))</f>
        <v>нет данных</v>
      </c>
      <c r="L441" s="12" t="str">
        <f aca="false">IF(AND(ISNUMBER(G441),G441&gt;0,ISNUMBER(I441)),I441/G441,"")</f>
        <v/>
      </c>
      <c r="M441" s="10" t="s">
        <v>105</v>
      </c>
      <c r="N441" s="10" t="s">
        <v>684</v>
      </c>
      <c r="O441" s="10" t="s">
        <v>107</v>
      </c>
    </row>
    <row r="442" customFormat="false" ht="15" hidden="false" customHeight="false" outlineLevel="0" collapsed="false">
      <c r="A442" s="10" t="n">
        <v>441</v>
      </c>
      <c r="B442" s="10" t="s">
        <v>685</v>
      </c>
      <c r="C442" s="10" t="s">
        <v>522</v>
      </c>
      <c r="D442" s="10" t="s">
        <v>523</v>
      </c>
      <c r="E442" s="10" t="s">
        <v>92</v>
      </c>
      <c r="F442" s="10" t="s">
        <v>136</v>
      </c>
      <c r="G442" s="11" t="n">
        <v>50</v>
      </c>
      <c r="H442" s="11"/>
      <c r="I442" s="11"/>
      <c r="J442" s="11"/>
      <c r="K442" s="10" t="str">
        <f aca="false">IF(ISNUMBER(J442),IF(J442&lt;10,"ультра-НЧ",IF(J442&lt;100,"НЧ",IF(J442&lt;=1000,"СЧ","ВЧ"))),IF(ISNUMBER(I442),IF(I442&lt;10,"ультра-НЧ",IF(I442&lt;100,"НЧ",IF(I442&lt;=1000,"СЧ","ВЧ"))),"нет данных"))</f>
        <v>нет данных</v>
      </c>
      <c r="L442" s="12" t="str">
        <f aca="false">IF(AND(ISNUMBER(G442),G442&gt;0,ISNUMBER(I442)),I442/G442,"")</f>
        <v/>
      </c>
      <c r="M442" s="10" t="s">
        <v>105</v>
      </c>
      <c r="N442" s="10" t="s">
        <v>685</v>
      </c>
      <c r="O442" s="10" t="s">
        <v>107</v>
      </c>
    </row>
    <row r="443" customFormat="false" ht="15" hidden="false" customHeight="false" outlineLevel="0" collapsed="false">
      <c r="A443" s="10" t="n">
        <v>442</v>
      </c>
      <c r="B443" s="10" t="s">
        <v>686</v>
      </c>
      <c r="C443" s="10" t="s">
        <v>522</v>
      </c>
      <c r="D443" s="10" t="s">
        <v>523</v>
      </c>
      <c r="E443" s="10" t="s">
        <v>92</v>
      </c>
      <c r="F443" s="10" t="s">
        <v>136</v>
      </c>
      <c r="G443" s="11" t="n">
        <v>49</v>
      </c>
      <c r="H443" s="11"/>
      <c r="I443" s="11"/>
      <c r="J443" s="11"/>
      <c r="K443" s="10" t="str">
        <f aca="false">IF(ISNUMBER(J443),IF(J443&lt;10,"ультра-НЧ",IF(J443&lt;100,"НЧ",IF(J443&lt;=1000,"СЧ","ВЧ"))),IF(ISNUMBER(I443),IF(I443&lt;10,"ультра-НЧ",IF(I443&lt;100,"НЧ",IF(I443&lt;=1000,"СЧ","ВЧ"))),"нет данных"))</f>
        <v>нет данных</v>
      </c>
      <c r="L443" s="12" t="str">
        <f aca="false">IF(AND(ISNUMBER(G443),G443&gt;0,ISNUMBER(I443)),I443/G443,"")</f>
        <v/>
      </c>
      <c r="M443" s="10" t="s">
        <v>105</v>
      </c>
      <c r="N443" s="10" t="s">
        <v>686</v>
      </c>
      <c r="O443" s="10" t="s">
        <v>107</v>
      </c>
    </row>
    <row r="444" customFormat="false" ht="15" hidden="false" customHeight="false" outlineLevel="0" collapsed="false">
      <c r="A444" s="10" t="n">
        <v>443</v>
      </c>
      <c r="B444" s="10" t="s">
        <v>687</v>
      </c>
      <c r="C444" s="10" t="s">
        <v>522</v>
      </c>
      <c r="D444" s="10" t="s">
        <v>523</v>
      </c>
      <c r="E444" s="10" t="s">
        <v>92</v>
      </c>
      <c r="F444" s="10" t="s">
        <v>136</v>
      </c>
      <c r="G444" s="11" t="n">
        <v>49</v>
      </c>
      <c r="H444" s="11"/>
      <c r="I444" s="11"/>
      <c r="J444" s="11"/>
      <c r="K444" s="10" t="str">
        <f aca="false">IF(ISNUMBER(J444),IF(J444&lt;10,"ультра-НЧ",IF(J444&lt;100,"НЧ",IF(J444&lt;=1000,"СЧ","ВЧ"))),IF(ISNUMBER(I444),IF(I444&lt;10,"ультра-НЧ",IF(I444&lt;100,"НЧ",IF(I444&lt;=1000,"СЧ","ВЧ"))),"нет данных"))</f>
        <v>нет данных</v>
      </c>
      <c r="L444" s="12" t="str">
        <f aca="false">IF(AND(ISNUMBER(G444),G444&gt;0,ISNUMBER(I444)),I444/G444,"")</f>
        <v/>
      </c>
      <c r="M444" s="10" t="s">
        <v>105</v>
      </c>
      <c r="N444" s="10" t="s">
        <v>687</v>
      </c>
      <c r="O444" s="10" t="s">
        <v>107</v>
      </c>
    </row>
    <row r="445" customFormat="false" ht="15" hidden="false" customHeight="false" outlineLevel="0" collapsed="false">
      <c r="A445" s="10" t="n">
        <v>444</v>
      </c>
      <c r="B445" s="10" t="s">
        <v>688</v>
      </c>
      <c r="C445" s="10" t="s">
        <v>522</v>
      </c>
      <c r="D445" s="10" t="s">
        <v>523</v>
      </c>
      <c r="E445" s="10" t="s">
        <v>92</v>
      </c>
      <c r="F445" s="10" t="s">
        <v>136</v>
      </c>
      <c r="G445" s="11" t="n">
        <v>49</v>
      </c>
      <c r="H445" s="11"/>
      <c r="I445" s="11"/>
      <c r="J445" s="11"/>
      <c r="K445" s="10" t="str">
        <f aca="false">IF(ISNUMBER(J445),IF(J445&lt;10,"ультра-НЧ",IF(J445&lt;100,"НЧ",IF(J445&lt;=1000,"СЧ","ВЧ"))),IF(ISNUMBER(I445),IF(I445&lt;10,"ультра-НЧ",IF(I445&lt;100,"НЧ",IF(I445&lt;=1000,"СЧ","ВЧ"))),"нет данных"))</f>
        <v>нет данных</v>
      </c>
      <c r="L445" s="12" t="str">
        <f aca="false">IF(AND(ISNUMBER(G445),G445&gt;0,ISNUMBER(I445)),I445/G445,"")</f>
        <v/>
      </c>
      <c r="M445" s="10" t="s">
        <v>105</v>
      </c>
      <c r="N445" s="10" t="s">
        <v>688</v>
      </c>
      <c r="O445" s="10" t="s">
        <v>107</v>
      </c>
    </row>
    <row r="446" customFormat="false" ht="15" hidden="false" customHeight="false" outlineLevel="0" collapsed="false">
      <c r="A446" s="10" t="n">
        <v>445</v>
      </c>
      <c r="B446" s="10" t="s">
        <v>689</v>
      </c>
      <c r="C446" s="10" t="s">
        <v>522</v>
      </c>
      <c r="D446" s="10" t="s">
        <v>523</v>
      </c>
      <c r="E446" s="10" t="s">
        <v>92</v>
      </c>
      <c r="F446" s="10" t="s">
        <v>136</v>
      </c>
      <c r="G446" s="11" t="n">
        <v>49</v>
      </c>
      <c r="H446" s="11"/>
      <c r="I446" s="11"/>
      <c r="J446" s="11"/>
      <c r="K446" s="10" t="str">
        <f aca="false">IF(ISNUMBER(J446),IF(J446&lt;10,"ультра-НЧ",IF(J446&lt;100,"НЧ",IF(J446&lt;=1000,"СЧ","ВЧ"))),IF(ISNUMBER(I446),IF(I446&lt;10,"ультра-НЧ",IF(I446&lt;100,"НЧ",IF(I446&lt;=1000,"СЧ","ВЧ"))),"нет данных"))</f>
        <v>нет данных</v>
      </c>
      <c r="L446" s="12" t="str">
        <f aca="false">IF(AND(ISNUMBER(G446),G446&gt;0,ISNUMBER(I446)),I446/G446,"")</f>
        <v/>
      </c>
      <c r="M446" s="10" t="s">
        <v>105</v>
      </c>
      <c r="N446" s="10" t="s">
        <v>689</v>
      </c>
      <c r="O446" s="10" t="s">
        <v>107</v>
      </c>
    </row>
    <row r="447" customFormat="false" ht="15" hidden="false" customHeight="false" outlineLevel="0" collapsed="false">
      <c r="A447" s="10" t="n">
        <v>446</v>
      </c>
      <c r="B447" s="10" t="s">
        <v>690</v>
      </c>
      <c r="C447" s="10" t="s">
        <v>522</v>
      </c>
      <c r="D447" s="10" t="s">
        <v>523</v>
      </c>
      <c r="E447" s="10" t="s">
        <v>92</v>
      </c>
      <c r="F447" s="10" t="s">
        <v>136</v>
      </c>
      <c r="G447" s="11" t="n">
        <v>49</v>
      </c>
      <c r="H447" s="11"/>
      <c r="I447" s="11"/>
      <c r="J447" s="11"/>
      <c r="K447" s="10" t="str">
        <f aca="false">IF(ISNUMBER(J447),IF(J447&lt;10,"ультра-НЧ",IF(J447&lt;100,"НЧ",IF(J447&lt;=1000,"СЧ","ВЧ"))),IF(ISNUMBER(I447),IF(I447&lt;10,"ультра-НЧ",IF(I447&lt;100,"НЧ",IF(I447&lt;=1000,"СЧ","ВЧ"))),"нет данных"))</f>
        <v>нет данных</v>
      </c>
      <c r="L447" s="12" t="str">
        <f aca="false">IF(AND(ISNUMBER(G447),G447&gt;0,ISNUMBER(I447)),I447/G447,"")</f>
        <v/>
      </c>
      <c r="M447" s="10" t="s">
        <v>105</v>
      </c>
      <c r="N447" s="10" t="s">
        <v>691</v>
      </c>
      <c r="O447" s="10" t="s">
        <v>107</v>
      </c>
    </row>
    <row r="448" customFormat="false" ht="15" hidden="false" customHeight="false" outlineLevel="0" collapsed="false">
      <c r="A448" s="10" t="n">
        <v>447</v>
      </c>
      <c r="B448" s="10" t="s">
        <v>692</v>
      </c>
      <c r="C448" s="10" t="s">
        <v>522</v>
      </c>
      <c r="D448" s="10" t="s">
        <v>523</v>
      </c>
      <c r="E448" s="10" t="s">
        <v>92</v>
      </c>
      <c r="F448" s="10" t="s">
        <v>136</v>
      </c>
      <c r="G448" s="11" t="n">
        <v>48</v>
      </c>
      <c r="H448" s="11"/>
      <c r="I448" s="11"/>
      <c r="J448" s="11"/>
      <c r="K448" s="10" t="str">
        <f aca="false">IF(ISNUMBER(J448),IF(J448&lt;10,"ультра-НЧ",IF(J448&lt;100,"НЧ",IF(J448&lt;=1000,"СЧ","ВЧ"))),IF(ISNUMBER(I448),IF(I448&lt;10,"ультра-НЧ",IF(I448&lt;100,"НЧ",IF(I448&lt;=1000,"СЧ","ВЧ"))),"нет данных"))</f>
        <v>нет данных</v>
      </c>
      <c r="L448" s="12" t="str">
        <f aca="false">IF(AND(ISNUMBER(G448),G448&gt;0,ISNUMBER(I448)),I448/G448,"")</f>
        <v/>
      </c>
      <c r="M448" s="10" t="s">
        <v>105</v>
      </c>
      <c r="N448" s="10" t="s">
        <v>692</v>
      </c>
      <c r="O448" s="10" t="s">
        <v>107</v>
      </c>
    </row>
    <row r="449" customFormat="false" ht="15" hidden="false" customHeight="false" outlineLevel="0" collapsed="false">
      <c r="A449" s="10" t="n">
        <v>448</v>
      </c>
      <c r="B449" s="10" t="s">
        <v>693</v>
      </c>
      <c r="C449" s="10" t="s">
        <v>522</v>
      </c>
      <c r="D449" s="10" t="s">
        <v>523</v>
      </c>
      <c r="E449" s="10" t="s">
        <v>92</v>
      </c>
      <c r="F449" s="10" t="s">
        <v>136</v>
      </c>
      <c r="G449" s="11" t="n">
        <v>47</v>
      </c>
      <c r="H449" s="11"/>
      <c r="I449" s="11"/>
      <c r="J449" s="11"/>
      <c r="K449" s="10" t="str">
        <f aca="false">IF(ISNUMBER(J449),IF(J449&lt;10,"ультра-НЧ",IF(J449&lt;100,"НЧ",IF(J449&lt;=1000,"СЧ","ВЧ"))),IF(ISNUMBER(I449),IF(I449&lt;10,"ультра-НЧ",IF(I449&lt;100,"НЧ",IF(I449&lt;=1000,"СЧ","ВЧ"))),"нет данных"))</f>
        <v>нет данных</v>
      </c>
      <c r="L449" s="12" t="str">
        <f aca="false">IF(AND(ISNUMBER(G449),G449&gt;0,ISNUMBER(I449)),I449/G449,"")</f>
        <v/>
      </c>
      <c r="M449" s="10" t="s">
        <v>105</v>
      </c>
      <c r="N449" s="10" t="s">
        <v>693</v>
      </c>
      <c r="O449" s="10" t="s">
        <v>107</v>
      </c>
    </row>
    <row r="450" customFormat="false" ht="15" hidden="false" customHeight="false" outlineLevel="0" collapsed="false">
      <c r="A450" s="10" t="n">
        <v>449</v>
      </c>
      <c r="B450" s="10" t="s">
        <v>694</v>
      </c>
      <c r="C450" s="10" t="s">
        <v>522</v>
      </c>
      <c r="D450" s="10" t="s">
        <v>523</v>
      </c>
      <c r="E450" s="10" t="s">
        <v>92</v>
      </c>
      <c r="F450" s="10" t="s">
        <v>136</v>
      </c>
      <c r="G450" s="11" t="n">
        <v>47</v>
      </c>
      <c r="H450" s="11"/>
      <c r="I450" s="11"/>
      <c r="J450" s="11"/>
      <c r="K450" s="10" t="str">
        <f aca="false">IF(ISNUMBER(J450),IF(J450&lt;10,"ультра-НЧ",IF(J450&lt;100,"НЧ",IF(J450&lt;=1000,"СЧ","ВЧ"))),IF(ISNUMBER(I450),IF(I450&lt;10,"ультра-НЧ",IF(I450&lt;100,"НЧ",IF(I450&lt;=1000,"СЧ","ВЧ"))),"нет данных"))</f>
        <v>нет данных</v>
      </c>
      <c r="L450" s="12" t="str">
        <f aca="false">IF(AND(ISNUMBER(G450),G450&gt;0,ISNUMBER(I450)),I450/G450,"")</f>
        <v/>
      </c>
      <c r="M450" s="10" t="s">
        <v>105</v>
      </c>
      <c r="N450" s="10" t="s">
        <v>694</v>
      </c>
      <c r="O450" s="10" t="s">
        <v>107</v>
      </c>
    </row>
    <row r="451" customFormat="false" ht="15" hidden="false" customHeight="false" outlineLevel="0" collapsed="false">
      <c r="A451" s="10" t="n">
        <v>450</v>
      </c>
      <c r="B451" s="10" t="s">
        <v>695</v>
      </c>
      <c r="C451" s="10" t="s">
        <v>522</v>
      </c>
      <c r="D451" s="10" t="s">
        <v>523</v>
      </c>
      <c r="E451" s="10" t="s">
        <v>92</v>
      </c>
      <c r="F451" s="10" t="s">
        <v>136</v>
      </c>
      <c r="G451" s="11" t="n">
        <v>46</v>
      </c>
      <c r="H451" s="11"/>
      <c r="I451" s="11"/>
      <c r="J451" s="11"/>
      <c r="K451" s="10" t="str">
        <f aca="false">IF(ISNUMBER(J451),IF(J451&lt;10,"ультра-НЧ",IF(J451&lt;100,"НЧ",IF(J451&lt;=1000,"СЧ","ВЧ"))),IF(ISNUMBER(I451),IF(I451&lt;10,"ультра-НЧ",IF(I451&lt;100,"НЧ",IF(I451&lt;=1000,"СЧ","ВЧ"))),"нет данных"))</f>
        <v>нет данных</v>
      </c>
      <c r="L451" s="12" t="str">
        <f aca="false">IF(AND(ISNUMBER(G451),G451&gt;0,ISNUMBER(I451)),I451/G451,"")</f>
        <v/>
      </c>
      <c r="M451" s="10" t="s">
        <v>105</v>
      </c>
      <c r="N451" s="10" t="s">
        <v>696</v>
      </c>
      <c r="O451" s="10" t="s">
        <v>107</v>
      </c>
    </row>
    <row r="452" customFormat="false" ht="15" hidden="false" customHeight="false" outlineLevel="0" collapsed="false">
      <c r="A452" s="10" t="n">
        <v>451</v>
      </c>
      <c r="B452" s="10" t="s">
        <v>697</v>
      </c>
      <c r="C452" s="10" t="s">
        <v>522</v>
      </c>
      <c r="D452" s="10" t="s">
        <v>523</v>
      </c>
      <c r="E452" s="10" t="s">
        <v>92</v>
      </c>
      <c r="F452" s="10" t="s">
        <v>136</v>
      </c>
      <c r="G452" s="11" t="n">
        <v>45</v>
      </c>
      <c r="H452" s="11"/>
      <c r="I452" s="11"/>
      <c r="J452" s="11"/>
      <c r="K452" s="10" t="str">
        <f aca="false">IF(ISNUMBER(J452),IF(J452&lt;10,"ультра-НЧ",IF(J452&lt;100,"НЧ",IF(J452&lt;=1000,"СЧ","ВЧ"))),IF(ISNUMBER(I452),IF(I452&lt;10,"ультра-НЧ",IF(I452&lt;100,"НЧ",IF(I452&lt;=1000,"СЧ","ВЧ"))),"нет данных"))</f>
        <v>нет данных</v>
      </c>
      <c r="L452" s="12" t="str">
        <f aca="false">IF(AND(ISNUMBER(G452),G452&gt;0,ISNUMBER(I452)),I452/G452,"")</f>
        <v/>
      </c>
      <c r="M452" s="10" t="s">
        <v>105</v>
      </c>
      <c r="N452" s="10" t="s">
        <v>697</v>
      </c>
      <c r="O452" s="10" t="s">
        <v>107</v>
      </c>
    </row>
    <row r="453" customFormat="false" ht="15" hidden="false" customHeight="false" outlineLevel="0" collapsed="false">
      <c r="A453" s="10" t="n">
        <v>452</v>
      </c>
      <c r="B453" s="10" t="s">
        <v>698</v>
      </c>
      <c r="C453" s="10" t="s">
        <v>522</v>
      </c>
      <c r="D453" s="10" t="s">
        <v>523</v>
      </c>
      <c r="E453" s="10" t="s">
        <v>92</v>
      </c>
      <c r="F453" s="10" t="s">
        <v>136</v>
      </c>
      <c r="G453" s="11" t="n">
        <v>45</v>
      </c>
      <c r="H453" s="11"/>
      <c r="I453" s="11"/>
      <c r="J453" s="11"/>
      <c r="K453" s="10" t="str">
        <f aca="false">IF(ISNUMBER(J453),IF(J453&lt;10,"ультра-НЧ",IF(J453&lt;100,"НЧ",IF(J453&lt;=1000,"СЧ","ВЧ"))),IF(ISNUMBER(I453),IF(I453&lt;10,"ультра-НЧ",IF(I453&lt;100,"НЧ",IF(I453&lt;=1000,"СЧ","ВЧ"))),"нет данных"))</f>
        <v>нет данных</v>
      </c>
      <c r="L453" s="12" t="str">
        <f aca="false">IF(AND(ISNUMBER(G453),G453&gt;0,ISNUMBER(I453)),I453/G453,"")</f>
        <v/>
      </c>
      <c r="M453" s="10" t="s">
        <v>105</v>
      </c>
      <c r="N453" s="10" t="s">
        <v>698</v>
      </c>
      <c r="O453" s="10" t="s">
        <v>107</v>
      </c>
    </row>
    <row r="454" customFormat="false" ht="15" hidden="false" customHeight="false" outlineLevel="0" collapsed="false">
      <c r="A454" s="10" t="n">
        <v>453</v>
      </c>
      <c r="B454" s="10" t="s">
        <v>699</v>
      </c>
      <c r="C454" s="10" t="s">
        <v>522</v>
      </c>
      <c r="D454" s="10" t="s">
        <v>523</v>
      </c>
      <c r="E454" s="10" t="s">
        <v>92</v>
      </c>
      <c r="F454" s="10" t="s">
        <v>136</v>
      </c>
      <c r="G454" s="11" t="n">
        <v>45</v>
      </c>
      <c r="H454" s="11"/>
      <c r="I454" s="11"/>
      <c r="J454" s="11"/>
      <c r="K454" s="10" t="str">
        <f aca="false">IF(ISNUMBER(J454),IF(J454&lt;10,"ультра-НЧ",IF(J454&lt;100,"НЧ",IF(J454&lt;=1000,"СЧ","ВЧ"))),IF(ISNUMBER(I454),IF(I454&lt;10,"ультра-НЧ",IF(I454&lt;100,"НЧ",IF(I454&lt;=1000,"СЧ","ВЧ"))),"нет данных"))</f>
        <v>нет данных</v>
      </c>
      <c r="L454" s="12" t="str">
        <f aca="false">IF(AND(ISNUMBER(G454),G454&gt;0,ISNUMBER(I454)),I454/G454,"")</f>
        <v/>
      </c>
      <c r="M454" s="10" t="s">
        <v>105</v>
      </c>
      <c r="N454" s="10" t="s">
        <v>700</v>
      </c>
      <c r="O454" s="10" t="s">
        <v>107</v>
      </c>
    </row>
    <row r="455" customFormat="false" ht="15" hidden="false" customHeight="false" outlineLevel="0" collapsed="false">
      <c r="A455" s="10" t="n">
        <v>454</v>
      </c>
      <c r="B455" s="10" t="s">
        <v>701</v>
      </c>
      <c r="C455" s="10" t="s">
        <v>522</v>
      </c>
      <c r="D455" s="10" t="s">
        <v>523</v>
      </c>
      <c r="E455" s="10" t="s">
        <v>92</v>
      </c>
      <c r="F455" s="10" t="s">
        <v>136</v>
      </c>
      <c r="G455" s="11" t="n">
        <v>45</v>
      </c>
      <c r="H455" s="11"/>
      <c r="I455" s="11"/>
      <c r="J455" s="11"/>
      <c r="K455" s="10" t="str">
        <f aca="false">IF(ISNUMBER(J455),IF(J455&lt;10,"ультра-НЧ",IF(J455&lt;100,"НЧ",IF(J455&lt;=1000,"СЧ","ВЧ"))),IF(ISNUMBER(I455),IF(I455&lt;10,"ультра-НЧ",IF(I455&lt;100,"НЧ",IF(I455&lt;=1000,"СЧ","ВЧ"))),"нет данных"))</f>
        <v>нет данных</v>
      </c>
      <c r="L455" s="12" t="str">
        <f aca="false">IF(AND(ISNUMBER(G455),G455&gt;0,ISNUMBER(I455)),I455/G455,"")</f>
        <v/>
      </c>
      <c r="M455" s="10" t="s">
        <v>105</v>
      </c>
      <c r="N455" s="10" t="s">
        <v>702</v>
      </c>
      <c r="O455" s="10" t="s">
        <v>107</v>
      </c>
    </row>
    <row r="456" customFormat="false" ht="15" hidden="false" customHeight="false" outlineLevel="0" collapsed="false">
      <c r="A456" s="10" t="n">
        <v>455</v>
      </c>
      <c r="B456" s="10" t="s">
        <v>703</v>
      </c>
      <c r="C456" s="10" t="s">
        <v>522</v>
      </c>
      <c r="D456" s="10" t="s">
        <v>523</v>
      </c>
      <c r="E456" s="10" t="s">
        <v>92</v>
      </c>
      <c r="F456" s="10" t="s">
        <v>136</v>
      </c>
      <c r="G456" s="11" t="n">
        <v>45</v>
      </c>
      <c r="H456" s="11"/>
      <c r="I456" s="11"/>
      <c r="J456" s="11"/>
      <c r="K456" s="10" t="str">
        <f aca="false">IF(ISNUMBER(J456),IF(J456&lt;10,"ультра-НЧ",IF(J456&lt;100,"НЧ",IF(J456&lt;=1000,"СЧ","ВЧ"))),IF(ISNUMBER(I456),IF(I456&lt;10,"ультра-НЧ",IF(I456&lt;100,"НЧ",IF(I456&lt;=1000,"СЧ","ВЧ"))),"нет данных"))</f>
        <v>нет данных</v>
      </c>
      <c r="L456" s="12" t="str">
        <f aca="false">IF(AND(ISNUMBER(G456),G456&gt;0,ISNUMBER(I456)),I456/G456,"")</f>
        <v/>
      </c>
      <c r="M456" s="10" t="s">
        <v>105</v>
      </c>
      <c r="N456" s="10" t="s">
        <v>703</v>
      </c>
      <c r="O456" s="10" t="s">
        <v>107</v>
      </c>
    </row>
    <row r="457" customFormat="false" ht="15" hidden="false" customHeight="false" outlineLevel="0" collapsed="false">
      <c r="A457" s="10" t="n">
        <v>456</v>
      </c>
      <c r="B457" s="10" t="s">
        <v>704</v>
      </c>
      <c r="C457" s="10" t="s">
        <v>522</v>
      </c>
      <c r="D457" s="10" t="s">
        <v>523</v>
      </c>
      <c r="E457" s="10" t="s">
        <v>92</v>
      </c>
      <c r="F457" s="10" t="s">
        <v>136</v>
      </c>
      <c r="G457" s="11" t="n">
        <v>44</v>
      </c>
      <c r="H457" s="11"/>
      <c r="I457" s="11"/>
      <c r="J457" s="11"/>
      <c r="K457" s="10" t="str">
        <f aca="false">IF(ISNUMBER(J457),IF(J457&lt;10,"ультра-НЧ",IF(J457&lt;100,"НЧ",IF(J457&lt;=1000,"СЧ","ВЧ"))),IF(ISNUMBER(I457),IF(I457&lt;10,"ультра-НЧ",IF(I457&lt;100,"НЧ",IF(I457&lt;=1000,"СЧ","ВЧ"))),"нет данных"))</f>
        <v>нет данных</v>
      </c>
      <c r="L457" s="12" t="str">
        <f aca="false">IF(AND(ISNUMBER(G457),G457&gt;0,ISNUMBER(I457)),I457/G457,"")</f>
        <v/>
      </c>
      <c r="M457" s="10" t="s">
        <v>105</v>
      </c>
      <c r="N457" s="10" t="s">
        <v>705</v>
      </c>
      <c r="O457" s="10" t="s">
        <v>107</v>
      </c>
    </row>
    <row r="458" customFormat="false" ht="15" hidden="false" customHeight="false" outlineLevel="0" collapsed="false">
      <c r="A458" s="10" t="n">
        <v>457</v>
      </c>
      <c r="B458" s="10" t="s">
        <v>706</v>
      </c>
      <c r="C458" s="10" t="s">
        <v>522</v>
      </c>
      <c r="D458" s="10" t="s">
        <v>523</v>
      </c>
      <c r="E458" s="10" t="s">
        <v>92</v>
      </c>
      <c r="F458" s="10" t="s">
        <v>136</v>
      </c>
      <c r="G458" s="11" t="n">
        <v>43</v>
      </c>
      <c r="H458" s="11"/>
      <c r="I458" s="11"/>
      <c r="J458" s="11"/>
      <c r="K458" s="10" t="str">
        <f aca="false">IF(ISNUMBER(J458),IF(J458&lt;10,"ультра-НЧ",IF(J458&lt;100,"НЧ",IF(J458&lt;=1000,"СЧ","ВЧ"))),IF(ISNUMBER(I458),IF(I458&lt;10,"ультра-НЧ",IF(I458&lt;100,"НЧ",IF(I458&lt;=1000,"СЧ","ВЧ"))),"нет данных"))</f>
        <v>нет данных</v>
      </c>
      <c r="L458" s="12" t="str">
        <f aca="false">IF(AND(ISNUMBER(G458),G458&gt;0,ISNUMBER(I458)),I458/G458,"")</f>
        <v/>
      </c>
      <c r="M458" s="10" t="s">
        <v>105</v>
      </c>
      <c r="N458" s="10" t="s">
        <v>706</v>
      </c>
      <c r="O458" s="10" t="s">
        <v>107</v>
      </c>
    </row>
    <row r="459" customFormat="false" ht="15" hidden="false" customHeight="false" outlineLevel="0" collapsed="false">
      <c r="A459" s="10" t="n">
        <v>458</v>
      </c>
      <c r="B459" s="10" t="s">
        <v>707</v>
      </c>
      <c r="C459" s="10" t="s">
        <v>522</v>
      </c>
      <c r="D459" s="10" t="s">
        <v>523</v>
      </c>
      <c r="E459" s="10" t="s">
        <v>92</v>
      </c>
      <c r="F459" s="10" t="s">
        <v>136</v>
      </c>
      <c r="G459" s="11" t="n">
        <v>43</v>
      </c>
      <c r="H459" s="11"/>
      <c r="I459" s="11"/>
      <c r="J459" s="11"/>
      <c r="K459" s="10" t="str">
        <f aca="false">IF(ISNUMBER(J459),IF(J459&lt;10,"ультра-НЧ",IF(J459&lt;100,"НЧ",IF(J459&lt;=1000,"СЧ","ВЧ"))),IF(ISNUMBER(I459),IF(I459&lt;10,"ультра-НЧ",IF(I459&lt;100,"НЧ",IF(I459&lt;=1000,"СЧ","ВЧ"))),"нет данных"))</f>
        <v>нет данных</v>
      </c>
      <c r="L459" s="12" t="str">
        <f aca="false">IF(AND(ISNUMBER(G459),G459&gt;0,ISNUMBER(I459)),I459/G459,"")</f>
        <v/>
      </c>
      <c r="M459" s="10" t="s">
        <v>105</v>
      </c>
      <c r="N459" s="10" t="s">
        <v>708</v>
      </c>
      <c r="O459" s="10" t="s">
        <v>107</v>
      </c>
    </row>
    <row r="460" customFormat="false" ht="15" hidden="false" customHeight="false" outlineLevel="0" collapsed="false">
      <c r="A460" s="10" t="n">
        <v>459</v>
      </c>
      <c r="B460" s="10" t="s">
        <v>709</v>
      </c>
      <c r="C460" s="10" t="s">
        <v>522</v>
      </c>
      <c r="D460" s="10" t="s">
        <v>523</v>
      </c>
      <c r="E460" s="10" t="s">
        <v>92</v>
      </c>
      <c r="F460" s="10" t="s">
        <v>136</v>
      </c>
      <c r="G460" s="11" t="n">
        <v>42</v>
      </c>
      <c r="H460" s="11"/>
      <c r="I460" s="11"/>
      <c r="J460" s="11"/>
      <c r="K460" s="10" t="str">
        <f aca="false">IF(ISNUMBER(J460),IF(J460&lt;10,"ультра-НЧ",IF(J460&lt;100,"НЧ",IF(J460&lt;=1000,"СЧ","ВЧ"))),IF(ISNUMBER(I460),IF(I460&lt;10,"ультра-НЧ",IF(I460&lt;100,"НЧ",IF(I460&lt;=1000,"СЧ","ВЧ"))),"нет данных"))</f>
        <v>нет данных</v>
      </c>
      <c r="L460" s="12" t="str">
        <f aca="false">IF(AND(ISNUMBER(G460),G460&gt;0,ISNUMBER(I460)),I460/G460,"")</f>
        <v/>
      </c>
      <c r="M460" s="10" t="s">
        <v>105</v>
      </c>
      <c r="N460" s="10" t="s">
        <v>710</v>
      </c>
      <c r="O460" s="10" t="s">
        <v>107</v>
      </c>
    </row>
    <row r="461" customFormat="false" ht="15" hidden="false" customHeight="false" outlineLevel="0" collapsed="false">
      <c r="A461" s="10" t="n">
        <v>460</v>
      </c>
      <c r="B461" s="10" t="s">
        <v>711</v>
      </c>
      <c r="C461" s="10" t="s">
        <v>522</v>
      </c>
      <c r="D461" s="10" t="s">
        <v>523</v>
      </c>
      <c r="E461" s="10" t="s">
        <v>92</v>
      </c>
      <c r="F461" s="10" t="s">
        <v>136</v>
      </c>
      <c r="G461" s="11" t="n">
        <v>42</v>
      </c>
      <c r="H461" s="11"/>
      <c r="I461" s="11"/>
      <c r="J461" s="11"/>
      <c r="K461" s="10" t="str">
        <f aca="false">IF(ISNUMBER(J461),IF(J461&lt;10,"ультра-НЧ",IF(J461&lt;100,"НЧ",IF(J461&lt;=1000,"СЧ","ВЧ"))),IF(ISNUMBER(I461),IF(I461&lt;10,"ультра-НЧ",IF(I461&lt;100,"НЧ",IF(I461&lt;=1000,"СЧ","ВЧ"))),"нет данных"))</f>
        <v>нет данных</v>
      </c>
      <c r="L461" s="12" t="str">
        <f aca="false">IF(AND(ISNUMBER(G461),G461&gt;0,ISNUMBER(I461)),I461/G461,"")</f>
        <v/>
      </c>
      <c r="M461" s="10" t="s">
        <v>105</v>
      </c>
      <c r="N461" s="10" t="s">
        <v>711</v>
      </c>
      <c r="O461" s="10" t="s">
        <v>107</v>
      </c>
    </row>
    <row r="462" customFormat="false" ht="15" hidden="false" customHeight="false" outlineLevel="0" collapsed="false">
      <c r="A462" s="10" t="n">
        <v>461</v>
      </c>
      <c r="B462" s="10" t="s">
        <v>712</v>
      </c>
      <c r="C462" s="10" t="s">
        <v>522</v>
      </c>
      <c r="D462" s="10" t="s">
        <v>523</v>
      </c>
      <c r="E462" s="10" t="s">
        <v>92</v>
      </c>
      <c r="F462" s="10" t="s">
        <v>136</v>
      </c>
      <c r="G462" s="11" t="n">
        <v>42</v>
      </c>
      <c r="H462" s="11"/>
      <c r="I462" s="11"/>
      <c r="J462" s="11"/>
      <c r="K462" s="10" t="str">
        <f aca="false">IF(ISNUMBER(J462),IF(J462&lt;10,"ультра-НЧ",IF(J462&lt;100,"НЧ",IF(J462&lt;=1000,"СЧ","ВЧ"))),IF(ISNUMBER(I462),IF(I462&lt;10,"ультра-НЧ",IF(I462&lt;100,"НЧ",IF(I462&lt;=1000,"СЧ","ВЧ"))),"нет данных"))</f>
        <v>нет данных</v>
      </c>
      <c r="L462" s="12" t="str">
        <f aca="false">IF(AND(ISNUMBER(G462),G462&gt;0,ISNUMBER(I462)),I462/G462,"")</f>
        <v/>
      </c>
      <c r="M462" s="10" t="s">
        <v>105</v>
      </c>
      <c r="N462" s="10" t="s">
        <v>712</v>
      </c>
      <c r="O462" s="10" t="s">
        <v>107</v>
      </c>
    </row>
    <row r="463" customFormat="false" ht="15" hidden="false" customHeight="false" outlineLevel="0" collapsed="false">
      <c r="A463" s="10" t="n">
        <v>462</v>
      </c>
      <c r="B463" s="10" t="s">
        <v>713</v>
      </c>
      <c r="C463" s="10" t="s">
        <v>522</v>
      </c>
      <c r="D463" s="10" t="s">
        <v>523</v>
      </c>
      <c r="E463" s="10" t="s">
        <v>92</v>
      </c>
      <c r="F463" s="10" t="s">
        <v>136</v>
      </c>
      <c r="G463" s="11" t="n">
        <v>42</v>
      </c>
      <c r="H463" s="11"/>
      <c r="I463" s="11"/>
      <c r="J463" s="11"/>
      <c r="K463" s="10" t="str">
        <f aca="false">IF(ISNUMBER(J463),IF(J463&lt;10,"ультра-НЧ",IF(J463&lt;100,"НЧ",IF(J463&lt;=1000,"СЧ","ВЧ"))),IF(ISNUMBER(I463),IF(I463&lt;10,"ультра-НЧ",IF(I463&lt;100,"НЧ",IF(I463&lt;=1000,"СЧ","ВЧ"))),"нет данных"))</f>
        <v>нет данных</v>
      </c>
      <c r="L463" s="12" t="str">
        <f aca="false">IF(AND(ISNUMBER(G463),G463&gt;0,ISNUMBER(I463)),I463/G463,"")</f>
        <v/>
      </c>
      <c r="M463" s="10" t="s">
        <v>105</v>
      </c>
      <c r="N463" s="10" t="s">
        <v>713</v>
      </c>
      <c r="O463" s="10" t="s">
        <v>107</v>
      </c>
    </row>
    <row r="464" customFormat="false" ht="15" hidden="false" customHeight="false" outlineLevel="0" collapsed="false">
      <c r="A464" s="10" t="n">
        <v>463</v>
      </c>
      <c r="B464" s="10" t="s">
        <v>714</v>
      </c>
      <c r="C464" s="10" t="s">
        <v>522</v>
      </c>
      <c r="D464" s="10" t="s">
        <v>523</v>
      </c>
      <c r="E464" s="10" t="s">
        <v>92</v>
      </c>
      <c r="F464" s="10" t="s">
        <v>136</v>
      </c>
      <c r="G464" s="11" t="n">
        <v>41</v>
      </c>
      <c r="H464" s="11"/>
      <c r="I464" s="11"/>
      <c r="J464" s="11"/>
      <c r="K464" s="10" t="str">
        <f aca="false">IF(ISNUMBER(J464),IF(J464&lt;10,"ультра-НЧ",IF(J464&lt;100,"НЧ",IF(J464&lt;=1000,"СЧ","ВЧ"))),IF(ISNUMBER(I464),IF(I464&lt;10,"ультра-НЧ",IF(I464&lt;100,"НЧ",IF(I464&lt;=1000,"СЧ","ВЧ"))),"нет данных"))</f>
        <v>нет данных</v>
      </c>
      <c r="L464" s="12" t="str">
        <f aca="false">IF(AND(ISNUMBER(G464),G464&gt;0,ISNUMBER(I464)),I464/G464,"")</f>
        <v/>
      </c>
      <c r="M464" s="10" t="s">
        <v>105</v>
      </c>
      <c r="N464" s="10" t="s">
        <v>714</v>
      </c>
      <c r="O464" s="10" t="s">
        <v>107</v>
      </c>
    </row>
    <row r="465" customFormat="false" ht="15" hidden="false" customHeight="false" outlineLevel="0" collapsed="false">
      <c r="A465" s="10" t="n">
        <v>464</v>
      </c>
      <c r="B465" s="10" t="s">
        <v>715</v>
      </c>
      <c r="C465" s="10" t="s">
        <v>522</v>
      </c>
      <c r="D465" s="10" t="s">
        <v>523</v>
      </c>
      <c r="E465" s="10" t="s">
        <v>92</v>
      </c>
      <c r="F465" s="10" t="s">
        <v>136</v>
      </c>
      <c r="G465" s="11" t="n">
        <v>40</v>
      </c>
      <c r="H465" s="11"/>
      <c r="I465" s="11"/>
      <c r="J465" s="11"/>
      <c r="K465" s="10" t="str">
        <f aca="false">IF(ISNUMBER(J465),IF(J465&lt;10,"ультра-НЧ",IF(J465&lt;100,"НЧ",IF(J465&lt;=1000,"СЧ","ВЧ"))),IF(ISNUMBER(I465),IF(I465&lt;10,"ультра-НЧ",IF(I465&lt;100,"НЧ",IF(I465&lt;=1000,"СЧ","ВЧ"))),"нет данных"))</f>
        <v>нет данных</v>
      </c>
      <c r="L465" s="12" t="str">
        <f aca="false">IF(AND(ISNUMBER(G465),G465&gt;0,ISNUMBER(I465)),I465/G465,"")</f>
        <v/>
      </c>
      <c r="M465" s="10" t="s">
        <v>105</v>
      </c>
      <c r="N465" s="10" t="s">
        <v>715</v>
      </c>
      <c r="O465" s="10" t="s">
        <v>107</v>
      </c>
    </row>
    <row r="466" customFormat="false" ht="15" hidden="false" customHeight="false" outlineLevel="0" collapsed="false">
      <c r="A466" s="10" t="n">
        <v>465</v>
      </c>
      <c r="B466" s="10" t="s">
        <v>716</v>
      </c>
      <c r="C466" s="10" t="s">
        <v>522</v>
      </c>
      <c r="D466" s="10" t="s">
        <v>523</v>
      </c>
      <c r="E466" s="10" t="s">
        <v>92</v>
      </c>
      <c r="F466" s="10" t="s">
        <v>136</v>
      </c>
      <c r="G466" s="11" t="n">
        <v>40</v>
      </c>
      <c r="H466" s="11"/>
      <c r="I466" s="11"/>
      <c r="J466" s="11"/>
      <c r="K466" s="10" t="str">
        <f aca="false">IF(ISNUMBER(J466),IF(J466&lt;10,"ультра-НЧ",IF(J466&lt;100,"НЧ",IF(J466&lt;=1000,"СЧ","ВЧ"))),IF(ISNUMBER(I466),IF(I466&lt;10,"ультра-НЧ",IF(I466&lt;100,"НЧ",IF(I466&lt;=1000,"СЧ","ВЧ"))),"нет данных"))</f>
        <v>нет данных</v>
      </c>
      <c r="L466" s="12" t="str">
        <f aca="false">IF(AND(ISNUMBER(G466),G466&gt;0,ISNUMBER(I466)),I466/G466,"")</f>
        <v/>
      </c>
      <c r="M466" s="10" t="s">
        <v>105</v>
      </c>
      <c r="N466" s="10" t="s">
        <v>716</v>
      </c>
      <c r="O466" s="10" t="s">
        <v>107</v>
      </c>
    </row>
    <row r="467" customFormat="false" ht="15" hidden="false" customHeight="false" outlineLevel="0" collapsed="false">
      <c r="A467" s="10" t="n">
        <v>466</v>
      </c>
      <c r="B467" s="10" t="s">
        <v>717</v>
      </c>
      <c r="C467" s="10" t="s">
        <v>522</v>
      </c>
      <c r="D467" s="10" t="s">
        <v>523</v>
      </c>
      <c r="E467" s="10" t="s">
        <v>92</v>
      </c>
      <c r="F467" s="10" t="s">
        <v>136</v>
      </c>
      <c r="G467" s="11" t="n">
        <v>39</v>
      </c>
      <c r="H467" s="11"/>
      <c r="I467" s="11"/>
      <c r="J467" s="11"/>
      <c r="K467" s="10" t="str">
        <f aca="false">IF(ISNUMBER(J467),IF(J467&lt;10,"ультра-НЧ",IF(J467&lt;100,"НЧ",IF(J467&lt;=1000,"СЧ","ВЧ"))),IF(ISNUMBER(I467),IF(I467&lt;10,"ультра-НЧ",IF(I467&lt;100,"НЧ",IF(I467&lt;=1000,"СЧ","ВЧ"))),"нет данных"))</f>
        <v>нет данных</v>
      </c>
      <c r="L467" s="12" t="str">
        <f aca="false">IF(AND(ISNUMBER(G467),G467&gt;0,ISNUMBER(I467)),I467/G467,"")</f>
        <v/>
      </c>
      <c r="M467" s="10" t="s">
        <v>105</v>
      </c>
      <c r="N467" s="10" t="s">
        <v>717</v>
      </c>
      <c r="O467" s="10" t="s">
        <v>107</v>
      </c>
    </row>
    <row r="468" customFormat="false" ht="15" hidden="false" customHeight="false" outlineLevel="0" collapsed="false">
      <c r="A468" s="10" t="n">
        <v>467</v>
      </c>
      <c r="B468" s="10" t="s">
        <v>718</v>
      </c>
      <c r="C468" s="10" t="s">
        <v>522</v>
      </c>
      <c r="D468" s="10" t="s">
        <v>523</v>
      </c>
      <c r="E468" s="10" t="s">
        <v>92</v>
      </c>
      <c r="F468" s="10" t="s">
        <v>136</v>
      </c>
      <c r="G468" s="11" t="n">
        <v>39</v>
      </c>
      <c r="H468" s="11"/>
      <c r="I468" s="11"/>
      <c r="J468" s="11"/>
      <c r="K468" s="10" t="str">
        <f aca="false">IF(ISNUMBER(J468),IF(J468&lt;10,"ультра-НЧ",IF(J468&lt;100,"НЧ",IF(J468&lt;=1000,"СЧ","ВЧ"))),IF(ISNUMBER(I468),IF(I468&lt;10,"ультра-НЧ",IF(I468&lt;100,"НЧ",IF(I468&lt;=1000,"СЧ","ВЧ"))),"нет данных"))</f>
        <v>нет данных</v>
      </c>
      <c r="L468" s="12" t="str">
        <f aca="false">IF(AND(ISNUMBER(G468),G468&gt;0,ISNUMBER(I468)),I468/G468,"")</f>
        <v/>
      </c>
      <c r="M468" s="10" t="s">
        <v>105</v>
      </c>
      <c r="N468" s="10" t="s">
        <v>718</v>
      </c>
      <c r="O468" s="10" t="s">
        <v>107</v>
      </c>
    </row>
    <row r="469" customFormat="false" ht="15" hidden="false" customHeight="false" outlineLevel="0" collapsed="false">
      <c r="A469" s="10" t="n">
        <v>468</v>
      </c>
      <c r="B469" s="10" t="s">
        <v>719</v>
      </c>
      <c r="C469" s="10" t="s">
        <v>522</v>
      </c>
      <c r="D469" s="10" t="s">
        <v>523</v>
      </c>
      <c r="E469" s="10" t="s">
        <v>92</v>
      </c>
      <c r="F469" s="10" t="s">
        <v>136</v>
      </c>
      <c r="G469" s="11" t="n">
        <v>37</v>
      </c>
      <c r="H469" s="11"/>
      <c r="I469" s="11"/>
      <c r="J469" s="11"/>
      <c r="K469" s="10" t="str">
        <f aca="false">IF(ISNUMBER(J469),IF(J469&lt;10,"ультра-НЧ",IF(J469&lt;100,"НЧ",IF(J469&lt;=1000,"СЧ","ВЧ"))),IF(ISNUMBER(I469),IF(I469&lt;10,"ультра-НЧ",IF(I469&lt;100,"НЧ",IF(I469&lt;=1000,"СЧ","ВЧ"))),"нет данных"))</f>
        <v>нет данных</v>
      </c>
      <c r="L469" s="12" t="str">
        <f aca="false">IF(AND(ISNUMBER(G469),G469&gt;0,ISNUMBER(I469)),I469/G469,"")</f>
        <v/>
      </c>
      <c r="M469" s="10" t="s">
        <v>105</v>
      </c>
      <c r="N469" s="10" t="s">
        <v>719</v>
      </c>
      <c r="O469" s="10" t="s">
        <v>107</v>
      </c>
    </row>
    <row r="470" customFormat="false" ht="15" hidden="false" customHeight="false" outlineLevel="0" collapsed="false">
      <c r="A470" s="10" t="n">
        <v>469</v>
      </c>
      <c r="B470" s="10" t="s">
        <v>720</v>
      </c>
      <c r="C470" s="10" t="s">
        <v>522</v>
      </c>
      <c r="D470" s="10" t="s">
        <v>523</v>
      </c>
      <c r="E470" s="10" t="s">
        <v>92</v>
      </c>
      <c r="F470" s="10" t="s">
        <v>136</v>
      </c>
      <c r="G470" s="11" t="n">
        <v>36</v>
      </c>
      <c r="H470" s="11"/>
      <c r="I470" s="11"/>
      <c r="J470" s="11"/>
      <c r="K470" s="10" t="str">
        <f aca="false">IF(ISNUMBER(J470),IF(J470&lt;10,"ультра-НЧ",IF(J470&lt;100,"НЧ",IF(J470&lt;=1000,"СЧ","ВЧ"))),IF(ISNUMBER(I470),IF(I470&lt;10,"ультра-НЧ",IF(I470&lt;100,"НЧ",IF(I470&lt;=1000,"СЧ","ВЧ"))),"нет данных"))</f>
        <v>нет данных</v>
      </c>
      <c r="L470" s="12" t="str">
        <f aca="false">IF(AND(ISNUMBER(G470),G470&gt;0,ISNUMBER(I470)),I470/G470,"")</f>
        <v/>
      </c>
      <c r="M470" s="10" t="s">
        <v>105</v>
      </c>
      <c r="N470" s="10" t="s">
        <v>720</v>
      </c>
      <c r="O470" s="10" t="s">
        <v>107</v>
      </c>
    </row>
    <row r="471" customFormat="false" ht="15" hidden="false" customHeight="false" outlineLevel="0" collapsed="false">
      <c r="A471" s="10" t="n">
        <v>470</v>
      </c>
      <c r="B471" s="10" t="s">
        <v>721</v>
      </c>
      <c r="C471" s="10" t="s">
        <v>522</v>
      </c>
      <c r="D471" s="10" t="s">
        <v>523</v>
      </c>
      <c r="E471" s="10" t="s">
        <v>92</v>
      </c>
      <c r="F471" s="10" t="s">
        <v>136</v>
      </c>
      <c r="G471" s="11" t="n">
        <v>35</v>
      </c>
      <c r="H471" s="11"/>
      <c r="I471" s="11"/>
      <c r="J471" s="11"/>
      <c r="K471" s="10" t="str">
        <f aca="false">IF(ISNUMBER(J471),IF(J471&lt;10,"ультра-НЧ",IF(J471&lt;100,"НЧ",IF(J471&lt;=1000,"СЧ","ВЧ"))),IF(ISNUMBER(I471),IF(I471&lt;10,"ультра-НЧ",IF(I471&lt;100,"НЧ",IF(I471&lt;=1000,"СЧ","ВЧ"))),"нет данных"))</f>
        <v>нет данных</v>
      </c>
      <c r="L471" s="12" t="str">
        <f aca="false">IF(AND(ISNUMBER(G471),G471&gt;0,ISNUMBER(I471)),I471/G471,"")</f>
        <v/>
      </c>
      <c r="M471" s="10" t="s">
        <v>105</v>
      </c>
      <c r="N471" s="10" t="s">
        <v>721</v>
      </c>
      <c r="O471" s="10" t="s">
        <v>107</v>
      </c>
    </row>
    <row r="472" customFormat="false" ht="15" hidden="false" customHeight="false" outlineLevel="0" collapsed="false">
      <c r="A472" s="10" t="n">
        <v>471</v>
      </c>
      <c r="B472" s="10" t="s">
        <v>722</v>
      </c>
      <c r="C472" s="10" t="s">
        <v>522</v>
      </c>
      <c r="D472" s="10" t="s">
        <v>523</v>
      </c>
      <c r="E472" s="10" t="s">
        <v>92</v>
      </c>
      <c r="F472" s="10" t="s">
        <v>136</v>
      </c>
      <c r="G472" s="11" t="n">
        <v>35</v>
      </c>
      <c r="H472" s="11"/>
      <c r="I472" s="11"/>
      <c r="J472" s="11"/>
      <c r="K472" s="10" t="str">
        <f aca="false">IF(ISNUMBER(J472),IF(J472&lt;10,"ультра-НЧ",IF(J472&lt;100,"НЧ",IF(J472&lt;=1000,"СЧ","ВЧ"))),IF(ISNUMBER(I472),IF(I472&lt;10,"ультра-НЧ",IF(I472&lt;100,"НЧ",IF(I472&lt;=1000,"СЧ","ВЧ"))),"нет данных"))</f>
        <v>нет данных</v>
      </c>
      <c r="L472" s="12" t="str">
        <f aca="false">IF(AND(ISNUMBER(G472),G472&gt;0,ISNUMBER(I472)),I472/G472,"")</f>
        <v/>
      </c>
      <c r="M472" s="10" t="s">
        <v>105</v>
      </c>
      <c r="N472" s="10" t="s">
        <v>723</v>
      </c>
      <c r="O472" s="10" t="s">
        <v>107</v>
      </c>
    </row>
    <row r="473" customFormat="false" ht="15" hidden="false" customHeight="false" outlineLevel="0" collapsed="false">
      <c r="A473" s="10" t="n">
        <v>472</v>
      </c>
      <c r="B473" s="10" t="s">
        <v>724</v>
      </c>
      <c r="C473" s="10" t="s">
        <v>522</v>
      </c>
      <c r="D473" s="10" t="s">
        <v>523</v>
      </c>
      <c r="E473" s="10" t="s">
        <v>92</v>
      </c>
      <c r="F473" s="10" t="s">
        <v>136</v>
      </c>
      <c r="G473" s="11" t="n">
        <v>35</v>
      </c>
      <c r="H473" s="11"/>
      <c r="I473" s="11"/>
      <c r="J473" s="11"/>
      <c r="K473" s="10" t="str">
        <f aca="false">IF(ISNUMBER(J473),IF(J473&lt;10,"ультра-НЧ",IF(J473&lt;100,"НЧ",IF(J473&lt;=1000,"СЧ","ВЧ"))),IF(ISNUMBER(I473),IF(I473&lt;10,"ультра-НЧ",IF(I473&lt;100,"НЧ",IF(I473&lt;=1000,"СЧ","ВЧ"))),"нет данных"))</f>
        <v>нет данных</v>
      </c>
      <c r="L473" s="12" t="str">
        <f aca="false">IF(AND(ISNUMBER(G473),G473&gt;0,ISNUMBER(I473)),I473/G473,"")</f>
        <v/>
      </c>
      <c r="M473" s="10" t="s">
        <v>105</v>
      </c>
      <c r="N473" s="10" t="s">
        <v>724</v>
      </c>
      <c r="O473" s="10" t="s">
        <v>107</v>
      </c>
    </row>
    <row r="474" customFormat="false" ht="15" hidden="false" customHeight="false" outlineLevel="0" collapsed="false">
      <c r="A474" s="10" t="n">
        <v>473</v>
      </c>
      <c r="B474" s="10" t="s">
        <v>725</v>
      </c>
      <c r="C474" s="10" t="s">
        <v>522</v>
      </c>
      <c r="D474" s="10" t="s">
        <v>523</v>
      </c>
      <c r="E474" s="10" t="s">
        <v>92</v>
      </c>
      <c r="F474" s="10" t="s">
        <v>136</v>
      </c>
      <c r="G474" s="11" t="n">
        <v>35</v>
      </c>
      <c r="H474" s="11"/>
      <c r="I474" s="11"/>
      <c r="J474" s="11"/>
      <c r="K474" s="10" t="str">
        <f aca="false">IF(ISNUMBER(J474),IF(J474&lt;10,"ультра-НЧ",IF(J474&lt;100,"НЧ",IF(J474&lt;=1000,"СЧ","ВЧ"))),IF(ISNUMBER(I474),IF(I474&lt;10,"ультра-НЧ",IF(I474&lt;100,"НЧ",IF(I474&lt;=1000,"СЧ","ВЧ"))),"нет данных"))</f>
        <v>нет данных</v>
      </c>
      <c r="L474" s="12" t="str">
        <f aca="false">IF(AND(ISNUMBER(G474),G474&gt;0,ISNUMBER(I474)),I474/G474,"")</f>
        <v/>
      </c>
      <c r="M474" s="10" t="s">
        <v>105</v>
      </c>
      <c r="N474" s="10" t="s">
        <v>725</v>
      </c>
      <c r="O474" s="10" t="s">
        <v>107</v>
      </c>
    </row>
    <row r="475" customFormat="false" ht="15" hidden="false" customHeight="false" outlineLevel="0" collapsed="false">
      <c r="A475" s="10" t="n">
        <v>474</v>
      </c>
      <c r="B475" s="10" t="s">
        <v>726</v>
      </c>
      <c r="C475" s="10" t="s">
        <v>522</v>
      </c>
      <c r="D475" s="10" t="s">
        <v>523</v>
      </c>
      <c r="E475" s="10" t="s">
        <v>92</v>
      </c>
      <c r="F475" s="10" t="s">
        <v>136</v>
      </c>
      <c r="G475" s="11" t="n">
        <v>35</v>
      </c>
      <c r="H475" s="11"/>
      <c r="I475" s="11"/>
      <c r="J475" s="11"/>
      <c r="K475" s="10" t="str">
        <f aca="false">IF(ISNUMBER(J475),IF(J475&lt;10,"ультра-НЧ",IF(J475&lt;100,"НЧ",IF(J475&lt;=1000,"СЧ","ВЧ"))),IF(ISNUMBER(I475),IF(I475&lt;10,"ультра-НЧ",IF(I475&lt;100,"НЧ",IF(I475&lt;=1000,"СЧ","ВЧ"))),"нет данных"))</f>
        <v>нет данных</v>
      </c>
      <c r="L475" s="12" t="str">
        <f aca="false">IF(AND(ISNUMBER(G475),G475&gt;0,ISNUMBER(I475)),I475/G475,"")</f>
        <v/>
      </c>
      <c r="M475" s="10" t="s">
        <v>105</v>
      </c>
      <c r="N475" s="10" t="s">
        <v>727</v>
      </c>
      <c r="O475" s="10" t="s">
        <v>107</v>
      </c>
    </row>
    <row r="476" customFormat="false" ht="15" hidden="false" customHeight="false" outlineLevel="0" collapsed="false">
      <c r="A476" s="10" t="n">
        <v>475</v>
      </c>
      <c r="B476" s="10" t="s">
        <v>728</v>
      </c>
      <c r="C476" s="10" t="s">
        <v>522</v>
      </c>
      <c r="D476" s="10" t="s">
        <v>523</v>
      </c>
      <c r="E476" s="10" t="s">
        <v>92</v>
      </c>
      <c r="F476" s="10" t="s">
        <v>136</v>
      </c>
      <c r="G476" s="11" t="n">
        <v>34</v>
      </c>
      <c r="H476" s="11"/>
      <c r="I476" s="11"/>
      <c r="J476" s="11"/>
      <c r="K476" s="10" t="str">
        <f aca="false">IF(ISNUMBER(J476),IF(J476&lt;10,"ультра-НЧ",IF(J476&lt;100,"НЧ",IF(J476&lt;=1000,"СЧ","ВЧ"))),IF(ISNUMBER(I476),IF(I476&lt;10,"ультра-НЧ",IF(I476&lt;100,"НЧ",IF(I476&lt;=1000,"СЧ","ВЧ"))),"нет данных"))</f>
        <v>нет данных</v>
      </c>
      <c r="L476" s="12" t="str">
        <f aca="false">IF(AND(ISNUMBER(G476),G476&gt;0,ISNUMBER(I476)),I476/G476,"")</f>
        <v/>
      </c>
      <c r="M476" s="10" t="s">
        <v>105</v>
      </c>
      <c r="N476" s="10" t="s">
        <v>728</v>
      </c>
      <c r="O476" s="10" t="s">
        <v>107</v>
      </c>
    </row>
    <row r="477" customFormat="false" ht="15" hidden="false" customHeight="false" outlineLevel="0" collapsed="false">
      <c r="A477" s="10" t="n">
        <v>476</v>
      </c>
      <c r="B477" s="10" t="s">
        <v>729</v>
      </c>
      <c r="C477" s="10" t="s">
        <v>522</v>
      </c>
      <c r="D477" s="10" t="s">
        <v>523</v>
      </c>
      <c r="E477" s="10" t="s">
        <v>92</v>
      </c>
      <c r="F477" s="10" t="s">
        <v>136</v>
      </c>
      <c r="G477" s="11" t="n">
        <v>34</v>
      </c>
      <c r="H477" s="11"/>
      <c r="I477" s="11"/>
      <c r="J477" s="11"/>
      <c r="K477" s="10" t="str">
        <f aca="false">IF(ISNUMBER(J477),IF(J477&lt;10,"ультра-НЧ",IF(J477&lt;100,"НЧ",IF(J477&lt;=1000,"СЧ","ВЧ"))),IF(ISNUMBER(I477),IF(I477&lt;10,"ультра-НЧ",IF(I477&lt;100,"НЧ",IF(I477&lt;=1000,"СЧ","ВЧ"))),"нет данных"))</f>
        <v>нет данных</v>
      </c>
      <c r="L477" s="12" t="str">
        <f aca="false">IF(AND(ISNUMBER(G477),G477&gt;0,ISNUMBER(I477)),I477/G477,"")</f>
        <v/>
      </c>
      <c r="M477" s="10" t="s">
        <v>105</v>
      </c>
      <c r="N477" s="10" t="s">
        <v>729</v>
      </c>
      <c r="O477" s="10" t="s">
        <v>107</v>
      </c>
    </row>
    <row r="478" customFormat="false" ht="15" hidden="false" customHeight="false" outlineLevel="0" collapsed="false">
      <c r="A478" s="10" t="n">
        <v>477</v>
      </c>
      <c r="B478" s="10" t="s">
        <v>730</v>
      </c>
      <c r="C478" s="10" t="s">
        <v>522</v>
      </c>
      <c r="D478" s="10" t="s">
        <v>523</v>
      </c>
      <c r="E478" s="10" t="s">
        <v>92</v>
      </c>
      <c r="F478" s="10" t="s">
        <v>136</v>
      </c>
      <c r="G478" s="11" t="n">
        <v>34</v>
      </c>
      <c r="H478" s="11"/>
      <c r="I478" s="11"/>
      <c r="J478" s="11"/>
      <c r="K478" s="10" t="str">
        <f aca="false">IF(ISNUMBER(J478),IF(J478&lt;10,"ультра-НЧ",IF(J478&lt;100,"НЧ",IF(J478&lt;=1000,"СЧ","ВЧ"))),IF(ISNUMBER(I478),IF(I478&lt;10,"ультра-НЧ",IF(I478&lt;100,"НЧ",IF(I478&lt;=1000,"СЧ","ВЧ"))),"нет данных"))</f>
        <v>нет данных</v>
      </c>
      <c r="L478" s="12" t="str">
        <f aca="false">IF(AND(ISNUMBER(G478),G478&gt;0,ISNUMBER(I478)),I478/G478,"")</f>
        <v/>
      </c>
      <c r="M478" s="10" t="s">
        <v>105</v>
      </c>
      <c r="N478" s="10" t="s">
        <v>730</v>
      </c>
      <c r="O478" s="10" t="s">
        <v>107</v>
      </c>
    </row>
    <row r="479" customFormat="false" ht="15" hidden="false" customHeight="false" outlineLevel="0" collapsed="false">
      <c r="A479" s="10" t="n">
        <v>478</v>
      </c>
      <c r="B479" s="10" t="s">
        <v>731</v>
      </c>
      <c r="C479" s="10" t="s">
        <v>522</v>
      </c>
      <c r="D479" s="10" t="s">
        <v>523</v>
      </c>
      <c r="E479" s="10" t="s">
        <v>92</v>
      </c>
      <c r="F479" s="10" t="s">
        <v>136</v>
      </c>
      <c r="G479" s="11" t="n">
        <v>33</v>
      </c>
      <c r="H479" s="11"/>
      <c r="I479" s="11"/>
      <c r="J479" s="11"/>
      <c r="K479" s="10" t="str">
        <f aca="false">IF(ISNUMBER(J479),IF(J479&lt;10,"ультра-НЧ",IF(J479&lt;100,"НЧ",IF(J479&lt;=1000,"СЧ","ВЧ"))),IF(ISNUMBER(I479),IF(I479&lt;10,"ультра-НЧ",IF(I479&lt;100,"НЧ",IF(I479&lt;=1000,"СЧ","ВЧ"))),"нет данных"))</f>
        <v>нет данных</v>
      </c>
      <c r="L479" s="12" t="str">
        <f aca="false">IF(AND(ISNUMBER(G479),G479&gt;0,ISNUMBER(I479)),I479/G479,"")</f>
        <v/>
      </c>
      <c r="M479" s="10" t="s">
        <v>105</v>
      </c>
      <c r="N479" s="10" t="s">
        <v>731</v>
      </c>
      <c r="O479" s="10" t="s">
        <v>107</v>
      </c>
    </row>
    <row r="480" customFormat="false" ht="15" hidden="false" customHeight="false" outlineLevel="0" collapsed="false">
      <c r="A480" s="10" t="n">
        <v>479</v>
      </c>
      <c r="B480" s="10" t="s">
        <v>732</v>
      </c>
      <c r="C480" s="10" t="s">
        <v>522</v>
      </c>
      <c r="D480" s="10" t="s">
        <v>523</v>
      </c>
      <c r="E480" s="10" t="s">
        <v>92</v>
      </c>
      <c r="F480" s="10" t="s">
        <v>136</v>
      </c>
      <c r="G480" s="11" t="n">
        <v>33</v>
      </c>
      <c r="H480" s="11"/>
      <c r="I480" s="11"/>
      <c r="J480" s="11"/>
      <c r="K480" s="10" t="str">
        <f aca="false">IF(ISNUMBER(J480),IF(J480&lt;10,"ультра-НЧ",IF(J480&lt;100,"НЧ",IF(J480&lt;=1000,"СЧ","ВЧ"))),IF(ISNUMBER(I480),IF(I480&lt;10,"ультра-НЧ",IF(I480&lt;100,"НЧ",IF(I480&lt;=1000,"СЧ","ВЧ"))),"нет данных"))</f>
        <v>нет данных</v>
      </c>
      <c r="L480" s="12" t="str">
        <f aca="false">IF(AND(ISNUMBER(G480),G480&gt;0,ISNUMBER(I480)),I480/G480,"")</f>
        <v/>
      </c>
      <c r="M480" s="10" t="s">
        <v>105</v>
      </c>
      <c r="N480" s="10" t="s">
        <v>732</v>
      </c>
      <c r="O480" s="10" t="s">
        <v>107</v>
      </c>
    </row>
    <row r="481" customFormat="false" ht="15" hidden="false" customHeight="false" outlineLevel="0" collapsed="false">
      <c r="A481" s="10" t="n">
        <v>480</v>
      </c>
      <c r="B481" s="10" t="s">
        <v>733</v>
      </c>
      <c r="C481" s="10" t="s">
        <v>522</v>
      </c>
      <c r="D481" s="10" t="s">
        <v>523</v>
      </c>
      <c r="E481" s="10" t="s">
        <v>92</v>
      </c>
      <c r="F481" s="10" t="s">
        <v>136</v>
      </c>
      <c r="G481" s="11" t="n">
        <v>33</v>
      </c>
      <c r="H481" s="11"/>
      <c r="I481" s="11"/>
      <c r="J481" s="11"/>
      <c r="K481" s="10" t="str">
        <f aca="false">IF(ISNUMBER(J481),IF(J481&lt;10,"ультра-НЧ",IF(J481&lt;100,"НЧ",IF(J481&lt;=1000,"СЧ","ВЧ"))),IF(ISNUMBER(I481),IF(I481&lt;10,"ультра-НЧ",IF(I481&lt;100,"НЧ",IF(I481&lt;=1000,"СЧ","ВЧ"))),"нет данных"))</f>
        <v>нет данных</v>
      </c>
      <c r="L481" s="12" t="str">
        <f aca="false">IF(AND(ISNUMBER(G481),G481&gt;0,ISNUMBER(I481)),I481/G481,"")</f>
        <v/>
      </c>
      <c r="M481" s="10" t="s">
        <v>105</v>
      </c>
      <c r="N481" s="10" t="s">
        <v>733</v>
      </c>
      <c r="O481" s="10" t="s">
        <v>107</v>
      </c>
    </row>
    <row r="482" customFormat="false" ht="15" hidden="false" customHeight="false" outlineLevel="0" collapsed="false">
      <c r="A482" s="10" t="n">
        <v>481</v>
      </c>
      <c r="B482" s="10" t="s">
        <v>734</v>
      </c>
      <c r="C482" s="10" t="s">
        <v>522</v>
      </c>
      <c r="D482" s="10" t="s">
        <v>523</v>
      </c>
      <c r="E482" s="10" t="s">
        <v>92</v>
      </c>
      <c r="F482" s="10" t="s">
        <v>136</v>
      </c>
      <c r="G482" s="11" t="n">
        <v>33</v>
      </c>
      <c r="H482" s="11"/>
      <c r="I482" s="11"/>
      <c r="J482" s="11"/>
      <c r="K482" s="10" t="str">
        <f aca="false">IF(ISNUMBER(J482),IF(J482&lt;10,"ультра-НЧ",IF(J482&lt;100,"НЧ",IF(J482&lt;=1000,"СЧ","ВЧ"))),IF(ISNUMBER(I482),IF(I482&lt;10,"ультра-НЧ",IF(I482&lt;100,"НЧ",IF(I482&lt;=1000,"СЧ","ВЧ"))),"нет данных"))</f>
        <v>нет данных</v>
      </c>
      <c r="L482" s="12" t="str">
        <f aca="false">IF(AND(ISNUMBER(G482),G482&gt;0,ISNUMBER(I482)),I482/G482,"")</f>
        <v/>
      </c>
      <c r="M482" s="10" t="s">
        <v>105</v>
      </c>
      <c r="N482" s="10" t="s">
        <v>734</v>
      </c>
      <c r="O482" s="10" t="s">
        <v>107</v>
      </c>
    </row>
    <row r="483" customFormat="false" ht="15" hidden="false" customHeight="false" outlineLevel="0" collapsed="false">
      <c r="A483" s="10" t="n">
        <v>482</v>
      </c>
      <c r="B483" s="10" t="s">
        <v>735</v>
      </c>
      <c r="C483" s="10" t="s">
        <v>522</v>
      </c>
      <c r="D483" s="10" t="s">
        <v>523</v>
      </c>
      <c r="E483" s="10" t="s">
        <v>92</v>
      </c>
      <c r="F483" s="10" t="s">
        <v>136</v>
      </c>
      <c r="G483" s="11" t="n">
        <v>33</v>
      </c>
      <c r="H483" s="11"/>
      <c r="I483" s="11"/>
      <c r="J483" s="11"/>
      <c r="K483" s="10" t="str">
        <f aca="false">IF(ISNUMBER(J483),IF(J483&lt;10,"ультра-НЧ",IF(J483&lt;100,"НЧ",IF(J483&lt;=1000,"СЧ","ВЧ"))),IF(ISNUMBER(I483),IF(I483&lt;10,"ультра-НЧ",IF(I483&lt;100,"НЧ",IF(I483&lt;=1000,"СЧ","ВЧ"))),"нет данных"))</f>
        <v>нет данных</v>
      </c>
      <c r="L483" s="12" t="str">
        <f aca="false">IF(AND(ISNUMBER(G483),G483&gt;0,ISNUMBER(I483)),I483/G483,"")</f>
        <v/>
      </c>
      <c r="M483" s="10" t="s">
        <v>105</v>
      </c>
      <c r="N483" s="10" t="s">
        <v>735</v>
      </c>
      <c r="O483" s="10" t="s">
        <v>107</v>
      </c>
    </row>
    <row r="484" customFormat="false" ht="15" hidden="false" customHeight="false" outlineLevel="0" collapsed="false">
      <c r="A484" s="10" t="n">
        <v>483</v>
      </c>
      <c r="B484" s="10" t="s">
        <v>736</v>
      </c>
      <c r="C484" s="10" t="s">
        <v>522</v>
      </c>
      <c r="D484" s="10" t="s">
        <v>523</v>
      </c>
      <c r="E484" s="10" t="s">
        <v>92</v>
      </c>
      <c r="F484" s="10" t="s">
        <v>136</v>
      </c>
      <c r="G484" s="11" t="n">
        <v>33</v>
      </c>
      <c r="H484" s="11"/>
      <c r="I484" s="11"/>
      <c r="J484" s="11"/>
      <c r="K484" s="10" t="str">
        <f aca="false">IF(ISNUMBER(J484),IF(J484&lt;10,"ультра-НЧ",IF(J484&lt;100,"НЧ",IF(J484&lt;=1000,"СЧ","ВЧ"))),IF(ISNUMBER(I484),IF(I484&lt;10,"ультра-НЧ",IF(I484&lt;100,"НЧ",IF(I484&lt;=1000,"СЧ","ВЧ"))),"нет данных"))</f>
        <v>нет данных</v>
      </c>
      <c r="L484" s="12" t="str">
        <f aca="false">IF(AND(ISNUMBER(G484),G484&gt;0,ISNUMBER(I484)),I484/G484,"")</f>
        <v/>
      </c>
      <c r="M484" s="10" t="s">
        <v>105</v>
      </c>
      <c r="N484" s="10" t="s">
        <v>736</v>
      </c>
      <c r="O484" s="10" t="s">
        <v>107</v>
      </c>
    </row>
    <row r="485" customFormat="false" ht="15" hidden="false" customHeight="false" outlineLevel="0" collapsed="false">
      <c r="A485" s="10" t="n">
        <v>484</v>
      </c>
      <c r="B485" s="10" t="s">
        <v>737</v>
      </c>
      <c r="C485" s="10" t="s">
        <v>522</v>
      </c>
      <c r="D485" s="10" t="s">
        <v>523</v>
      </c>
      <c r="E485" s="10" t="s">
        <v>92</v>
      </c>
      <c r="F485" s="10" t="s">
        <v>136</v>
      </c>
      <c r="G485" s="11" t="n">
        <v>33</v>
      </c>
      <c r="H485" s="11"/>
      <c r="I485" s="11"/>
      <c r="J485" s="11"/>
      <c r="K485" s="10" t="str">
        <f aca="false">IF(ISNUMBER(J485),IF(J485&lt;10,"ультра-НЧ",IF(J485&lt;100,"НЧ",IF(J485&lt;=1000,"СЧ","ВЧ"))),IF(ISNUMBER(I485),IF(I485&lt;10,"ультра-НЧ",IF(I485&lt;100,"НЧ",IF(I485&lt;=1000,"СЧ","ВЧ"))),"нет данных"))</f>
        <v>нет данных</v>
      </c>
      <c r="L485" s="12" t="str">
        <f aca="false">IF(AND(ISNUMBER(G485),G485&gt;0,ISNUMBER(I485)),I485/G485,"")</f>
        <v/>
      </c>
      <c r="M485" s="10" t="s">
        <v>105</v>
      </c>
      <c r="N485" s="10" t="s">
        <v>737</v>
      </c>
      <c r="O485" s="10" t="s">
        <v>107</v>
      </c>
    </row>
    <row r="486" customFormat="false" ht="15" hidden="false" customHeight="false" outlineLevel="0" collapsed="false">
      <c r="A486" s="10" t="n">
        <v>485</v>
      </c>
      <c r="B486" s="10" t="s">
        <v>738</v>
      </c>
      <c r="C486" s="10" t="s">
        <v>522</v>
      </c>
      <c r="D486" s="10" t="s">
        <v>523</v>
      </c>
      <c r="E486" s="10" t="s">
        <v>92</v>
      </c>
      <c r="F486" s="10" t="s">
        <v>136</v>
      </c>
      <c r="G486" s="11" t="n">
        <v>32</v>
      </c>
      <c r="H486" s="11"/>
      <c r="I486" s="11"/>
      <c r="J486" s="11"/>
      <c r="K486" s="10" t="str">
        <f aca="false">IF(ISNUMBER(J486),IF(J486&lt;10,"ультра-НЧ",IF(J486&lt;100,"НЧ",IF(J486&lt;=1000,"СЧ","ВЧ"))),IF(ISNUMBER(I486),IF(I486&lt;10,"ультра-НЧ",IF(I486&lt;100,"НЧ",IF(I486&lt;=1000,"СЧ","ВЧ"))),"нет данных"))</f>
        <v>нет данных</v>
      </c>
      <c r="L486" s="12" t="str">
        <f aca="false">IF(AND(ISNUMBER(G486),G486&gt;0,ISNUMBER(I486)),I486/G486,"")</f>
        <v/>
      </c>
      <c r="M486" s="10" t="s">
        <v>105</v>
      </c>
      <c r="N486" s="10" t="s">
        <v>738</v>
      </c>
      <c r="O486" s="10" t="s">
        <v>107</v>
      </c>
    </row>
    <row r="487" customFormat="false" ht="15" hidden="false" customHeight="false" outlineLevel="0" collapsed="false">
      <c r="A487" s="10" t="n">
        <v>486</v>
      </c>
      <c r="B487" s="10" t="s">
        <v>739</v>
      </c>
      <c r="C487" s="10" t="s">
        <v>522</v>
      </c>
      <c r="D487" s="10" t="s">
        <v>523</v>
      </c>
      <c r="E487" s="10" t="s">
        <v>92</v>
      </c>
      <c r="F487" s="10" t="s">
        <v>136</v>
      </c>
      <c r="G487" s="11" t="n">
        <v>32</v>
      </c>
      <c r="H487" s="11"/>
      <c r="I487" s="11"/>
      <c r="J487" s="11"/>
      <c r="K487" s="10" t="str">
        <f aca="false">IF(ISNUMBER(J487),IF(J487&lt;10,"ультра-НЧ",IF(J487&lt;100,"НЧ",IF(J487&lt;=1000,"СЧ","ВЧ"))),IF(ISNUMBER(I487),IF(I487&lt;10,"ультра-НЧ",IF(I487&lt;100,"НЧ",IF(I487&lt;=1000,"СЧ","ВЧ"))),"нет данных"))</f>
        <v>нет данных</v>
      </c>
      <c r="L487" s="12" t="str">
        <f aca="false">IF(AND(ISNUMBER(G487),G487&gt;0,ISNUMBER(I487)),I487/G487,"")</f>
        <v/>
      </c>
      <c r="M487" s="10" t="s">
        <v>105</v>
      </c>
      <c r="N487" s="10" t="s">
        <v>739</v>
      </c>
      <c r="O487" s="10" t="s">
        <v>107</v>
      </c>
    </row>
    <row r="488" customFormat="false" ht="15" hidden="false" customHeight="false" outlineLevel="0" collapsed="false">
      <c r="A488" s="10" t="n">
        <v>487</v>
      </c>
      <c r="B488" s="10" t="s">
        <v>740</v>
      </c>
      <c r="C488" s="10" t="s">
        <v>522</v>
      </c>
      <c r="D488" s="10" t="s">
        <v>523</v>
      </c>
      <c r="E488" s="10" t="s">
        <v>92</v>
      </c>
      <c r="F488" s="10" t="s">
        <v>136</v>
      </c>
      <c r="G488" s="11" t="n">
        <v>32</v>
      </c>
      <c r="H488" s="11"/>
      <c r="I488" s="11"/>
      <c r="J488" s="11"/>
      <c r="K488" s="10" t="str">
        <f aca="false">IF(ISNUMBER(J488),IF(J488&lt;10,"ультра-НЧ",IF(J488&lt;100,"НЧ",IF(J488&lt;=1000,"СЧ","ВЧ"))),IF(ISNUMBER(I488),IF(I488&lt;10,"ультра-НЧ",IF(I488&lt;100,"НЧ",IF(I488&lt;=1000,"СЧ","ВЧ"))),"нет данных"))</f>
        <v>нет данных</v>
      </c>
      <c r="L488" s="12" t="str">
        <f aca="false">IF(AND(ISNUMBER(G488),G488&gt;0,ISNUMBER(I488)),I488/G488,"")</f>
        <v/>
      </c>
      <c r="M488" s="10" t="s">
        <v>105</v>
      </c>
      <c r="N488" s="10" t="s">
        <v>740</v>
      </c>
      <c r="O488" s="10" t="s">
        <v>107</v>
      </c>
    </row>
    <row r="489" customFormat="false" ht="15" hidden="false" customHeight="false" outlineLevel="0" collapsed="false">
      <c r="A489" s="10" t="n">
        <v>488</v>
      </c>
      <c r="B489" s="10" t="s">
        <v>741</v>
      </c>
      <c r="C489" s="10" t="s">
        <v>522</v>
      </c>
      <c r="D489" s="10" t="s">
        <v>523</v>
      </c>
      <c r="E489" s="10" t="s">
        <v>92</v>
      </c>
      <c r="F489" s="10" t="s">
        <v>136</v>
      </c>
      <c r="G489" s="11" t="n">
        <v>32</v>
      </c>
      <c r="H489" s="11"/>
      <c r="I489" s="11"/>
      <c r="J489" s="11"/>
      <c r="K489" s="10" t="str">
        <f aca="false">IF(ISNUMBER(J489),IF(J489&lt;10,"ультра-НЧ",IF(J489&lt;100,"НЧ",IF(J489&lt;=1000,"СЧ","ВЧ"))),IF(ISNUMBER(I489),IF(I489&lt;10,"ультра-НЧ",IF(I489&lt;100,"НЧ",IF(I489&lt;=1000,"СЧ","ВЧ"))),"нет данных"))</f>
        <v>нет данных</v>
      </c>
      <c r="L489" s="12" t="str">
        <f aca="false">IF(AND(ISNUMBER(G489),G489&gt;0,ISNUMBER(I489)),I489/G489,"")</f>
        <v/>
      </c>
      <c r="M489" s="10" t="s">
        <v>105</v>
      </c>
      <c r="N489" s="10" t="s">
        <v>741</v>
      </c>
      <c r="O489" s="10" t="s">
        <v>107</v>
      </c>
    </row>
    <row r="490" customFormat="false" ht="15" hidden="false" customHeight="false" outlineLevel="0" collapsed="false">
      <c r="A490" s="10" t="n">
        <v>489</v>
      </c>
      <c r="B490" s="10" t="s">
        <v>742</v>
      </c>
      <c r="C490" s="10" t="s">
        <v>522</v>
      </c>
      <c r="D490" s="10" t="s">
        <v>523</v>
      </c>
      <c r="E490" s="10" t="s">
        <v>92</v>
      </c>
      <c r="F490" s="10" t="s">
        <v>136</v>
      </c>
      <c r="G490" s="11" t="n">
        <v>31</v>
      </c>
      <c r="H490" s="11"/>
      <c r="I490" s="11"/>
      <c r="J490" s="11"/>
      <c r="K490" s="10" t="str">
        <f aca="false">IF(ISNUMBER(J490),IF(J490&lt;10,"ультра-НЧ",IF(J490&lt;100,"НЧ",IF(J490&lt;=1000,"СЧ","ВЧ"))),IF(ISNUMBER(I490),IF(I490&lt;10,"ультра-НЧ",IF(I490&lt;100,"НЧ",IF(I490&lt;=1000,"СЧ","ВЧ"))),"нет данных"))</f>
        <v>нет данных</v>
      </c>
      <c r="L490" s="12" t="str">
        <f aca="false">IF(AND(ISNUMBER(G490),G490&gt;0,ISNUMBER(I490)),I490/G490,"")</f>
        <v/>
      </c>
      <c r="M490" s="10" t="s">
        <v>105</v>
      </c>
      <c r="N490" s="10" t="s">
        <v>743</v>
      </c>
      <c r="O490" s="10" t="s">
        <v>107</v>
      </c>
    </row>
    <row r="491" customFormat="false" ht="15" hidden="false" customHeight="false" outlineLevel="0" collapsed="false">
      <c r="A491" s="10" t="n">
        <v>490</v>
      </c>
      <c r="B491" s="10" t="s">
        <v>744</v>
      </c>
      <c r="C491" s="10" t="s">
        <v>522</v>
      </c>
      <c r="D491" s="10" t="s">
        <v>523</v>
      </c>
      <c r="E491" s="10" t="s">
        <v>92</v>
      </c>
      <c r="F491" s="10" t="s">
        <v>136</v>
      </c>
      <c r="G491" s="11" t="n">
        <v>31</v>
      </c>
      <c r="H491" s="11"/>
      <c r="I491" s="11"/>
      <c r="J491" s="11"/>
      <c r="K491" s="10" t="str">
        <f aca="false">IF(ISNUMBER(J491),IF(J491&lt;10,"ультра-НЧ",IF(J491&lt;100,"НЧ",IF(J491&lt;=1000,"СЧ","ВЧ"))),IF(ISNUMBER(I491),IF(I491&lt;10,"ультра-НЧ",IF(I491&lt;100,"НЧ",IF(I491&lt;=1000,"СЧ","ВЧ"))),"нет данных"))</f>
        <v>нет данных</v>
      </c>
      <c r="L491" s="12" t="str">
        <f aca="false">IF(AND(ISNUMBER(G491),G491&gt;0,ISNUMBER(I491)),I491/G491,"")</f>
        <v/>
      </c>
      <c r="M491" s="10" t="s">
        <v>105</v>
      </c>
      <c r="N491" s="10" t="s">
        <v>745</v>
      </c>
      <c r="O491" s="10" t="s">
        <v>107</v>
      </c>
    </row>
    <row r="492" customFormat="false" ht="15" hidden="false" customHeight="false" outlineLevel="0" collapsed="false">
      <c r="A492" s="10" t="n">
        <v>491</v>
      </c>
      <c r="B492" s="10" t="s">
        <v>746</v>
      </c>
      <c r="C492" s="10" t="s">
        <v>522</v>
      </c>
      <c r="D492" s="10" t="s">
        <v>523</v>
      </c>
      <c r="E492" s="10" t="s">
        <v>92</v>
      </c>
      <c r="F492" s="10" t="s">
        <v>136</v>
      </c>
      <c r="G492" s="11" t="n">
        <v>31</v>
      </c>
      <c r="H492" s="11"/>
      <c r="I492" s="11"/>
      <c r="J492" s="11"/>
      <c r="K492" s="10" t="str">
        <f aca="false">IF(ISNUMBER(J492),IF(J492&lt;10,"ультра-НЧ",IF(J492&lt;100,"НЧ",IF(J492&lt;=1000,"СЧ","ВЧ"))),IF(ISNUMBER(I492),IF(I492&lt;10,"ультра-НЧ",IF(I492&lt;100,"НЧ",IF(I492&lt;=1000,"СЧ","ВЧ"))),"нет данных"))</f>
        <v>нет данных</v>
      </c>
      <c r="L492" s="12" t="str">
        <f aca="false">IF(AND(ISNUMBER(G492),G492&gt;0,ISNUMBER(I492)),I492/G492,"")</f>
        <v/>
      </c>
      <c r="M492" s="10" t="s">
        <v>105</v>
      </c>
      <c r="N492" s="10" t="s">
        <v>746</v>
      </c>
      <c r="O492" s="10" t="s">
        <v>107</v>
      </c>
    </row>
    <row r="493" customFormat="false" ht="15" hidden="false" customHeight="false" outlineLevel="0" collapsed="false">
      <c r="A493" s="10" t="n">
        <v>492</v>
      </c>
      <c r="B493" s="10" t="s">
        <v>747</v>
      </c>
      <c r="C493" s="10" t="s">
        <v>522</v>
      </c>
      <c r="D493" s="10" t="s">
        <v>523</v>
      </c>
      <c r="E493" s="10" t="s">
        <v>92</v>
      </c>
      <c r="F493" s="10" t="s">
        <v>136</v>
      </c>
      <c r="G493" s="11" t="n">
        <v>31</v>
      </c>
      <c r="H493" s="11"/>
      <c r="I493" s="11"/>
      <c r="J493" s="11"/>
      <c r="K493" s="10" t="str">
        <f aca="false">IF(ISNUMBER(J493),IF(J493&lt;10,"ультра-НЧ",IF(J493&lt;100,"НЧ",IF(J493&lt;=1000,"СЧ","ВЧ"))),IF(ISNUMBER(I493),IF(I493&lt;10,"ультра-НЧ",IF(I493&lt;100,"НЧ",IF(I493&lt;=1000,"СЧ","ВЧ"))),"нет данных"))</f>
        <v>нет данных</v>
      </c>
      <c r="L493" s="12" t="str">
        <f aca="false">IF(AND(ISNUMBER(G493),G493&gt;0,ISNUMBER(I493)),I493/G493,"")</f>
        <v/>
      </c>
      <c r="M493" s="10" t="s">
        <v>105</v>
      </c>
      <c r="N493" s="10" t="s">
        <v>748</v>
      </c>
      <c r="O493" s="10" t="s">
        <v>107</v>
      </c>
    </row>
    <row r="494" customFormat="false" ht="15" hidden="false" customHeight="false" outlineLevel="0" collapsed="false">
      <c r="A494" s="10" t="n">
        <v>493</v>
      </c>
      <c r="B494" s="10" t="s">
        <v>749</v>
      </c>
      <c r="C494" s="10" t="s">
        <v>522</v>
      </c>
      <c r="D494" s="10" t="s">
        <v>523</v>
      </c>
      <c r="E494" s="10" t="s">
        <v>92</v>
      </c>
      <c r="F494" s="10" t="s">
        <v>136</v>
      </c>
      <c r="G494" s="11" t="n">
        <v>31</v>
      </c>
      <c r="H494" s="11"/>
      <c r="I494" s="11"/>
      <c r="J494" s="11"/>
      <c r="K494" s="10" t="str">
        <f aca="false">IF(ISNUMBER(J494),IF(J494&lt;10,"ультра-НЧ",IF(J494&lt;100,"НЧ",IF(J494&lt;=1000,"СЧ","ВЧ"))),IF(ISNUMBER(I494),IF(I494&lt;10,"ультра-НЧ",IF(I494&lt;100,"НЧ",IF(I494&lt;=1000,"СЧ","ВЧ"))),"нет данных"))</f>
        <v>нет данных</v>
      </c>
      <c r="L494" s="12" t="str">
        <f aca="false">IF(AND(ISNUMBER(G494),G494&gt;0,ISNUMBER(I494)),I494/G494,"")</f>
        <v/>
      </c>
      <c r="M494" s="10" t="s">
        <v>105</v>
      </c>
      <c r="N494" s="10" t="s">
        <v>749</v>
      </c>
      <c r="O494" s="10" t="s">
        <v>107</v>
      </c>
    </row>
    <row r="495" customFormat="false" ht="15" hidden="false" customHeight="false" outlineLevel="0" collapsed="false">
      <c r="A495" s="10" t="n">
        <v>494</v>
      </c>
      <c r="B495" s="10" t="s">
        <v>750</v>
      </c>
      <c r="C495" s="10" t="s">
        <v>522</v>
      </c>
      <c r="D495" s="10" t="s">
        <v>523</v>
      </c>
      <c r="E495" s="10" t="s">
        <v>92</v>
      </c>
      <c r="F495" s="10" t="s">
        <v>136</v>
      </c>
      <c r="G495" s="11" t="n">
        <v>31</v>
      </c>
      <c r="H495" s="11"/>
      <c r="I495" s="11"/>
      <c r="J495" s="11"/>
      <c r="K495" s="10" t="str">
        <f aca="false">IF(ISNUMBER(J495),IF(J495&lt;10,"ультра-НЧ",IF(J495&lt;100,"НЧ",IF(J495&lt;=1000,"СЧ","ВЧ"))),IF(ISNUMBER(I495),IF(I495&lt;10,"ультра-НЧ",IF(I495&lt;100,"НЧ",IF(I495&lt;=1000,"СЧ","ВЧ"))),"нет данных"))</f>
        <v>нет данных</v>
      </c>
      <c r="L495" s="12" t="str">
        <f aca="false">IF(AND(ISNUMBER(G495),G495&gt;0,ISNUMBER(I495)),I495/G495,"")</f>
        <v/>
      </c>
      <c r="M495" s="10" t="s">
        <v>105</v>
      </c>
      <c r="N495" s="10" t="s">
        <v>750</v>
      </c>
      <c r="O495" s="10" t="s">
        <v>107</v>
      </c>
    </row>
    <row r="496" customFormat="false" ht="15" hidden="false" customHeight="false" outlineLevel="0" collapsed="false">
      <c r="A496" s="10" t="n">
        <v>495</v>
      </c>
      <c r="B496" s="10" t="s">
        <v>751</v>
      </c>
      <c r="C496" s="10" t="s">
        <v>522</v>
      </c>
      <c r="D496" s="10" t="s">
        <v>523</v>
      </c>
      <c r="E496" s="10" t="s">
        <v>92</v>
      </c>
      <c r="F496" s="10" t="s">
        <v>136</v>
      </c>
      <c r="G496" s="11" t="n">
        <v>31</v>
      </c>
      <c r="H496" s="11"/>
      <c r="I496" s="11"/>
      <c r="J496" s="11"/>
      <c r="K496" s="10" t="str">
        <f aca="false">IF(ISNUMBER(J496),IF(J496&lt;10,"ультра-НЧ",IF(J496&lt;100,"НЧ",IF(J496&lt;=1000,"СЧ","ВЧ"))),IF(ISNUMBER(I496),IF(I496&lt;10,"ультра-НЧ",IF(I496&lt;100,"НЧ",IF(I496&lt;=1000,"СЧ","ВЧ"))),"нет данных"))</f>
        <v>нет данных</v>
      </c>
      <c r="L496" s="12" t="str">
        <f aca="false">IF(AND(ISNUMBER(G496),G496&gt;0,ISNUMBER(I496)),I496/G496,"")</f>
        <v/>
      </c>
      <c r="M496" s="10" t="s">
        <v>105</v>
      </c>
      <c r="N496" s="10" t="s">
        <v>752</v>
      </c>
      <c r="O496" s="10" t="s">
        <v>107</v>
      </c>
    </row>
    <row r="497" customFormat="false" ht="15" hidden="false" customHeight="false" outlineLevel="0" collapsed="false">
      <c r="A497" s="10" t="n">
        <v>496</v>
      </c>
      <c r="B497" s="10" t="s">
        <v>753</v>
      </c>
      <c r="C497" s="10" t="s">
        <v>522</v>
      </c>
      <c r="D497" s="10" t="s">
        <v>523</v>
      </c>
      <c r="E497" s="10" t="s">
        <v>92</v>
      </c>
      <c r="F497" s="10" t="s">
        <v>136</v>
      </c>
      <c r="G497" s="11" t="n">
        <v>31</v>
      </c>
      <c r="H497" s="11"/>
      <c r="I497" s="11"/>
      <c r="J497" s="11"/>
      <c r="K497" s="10" t="str">
        <f aca="false">IF(ISNUMBER(J497),IF(J497&lt;10,"ультра-НЧ",IF(J497&lt;100,"НЧ",IF(J497&lt;=1000,"СЧ","ВЧ"))),IF(ISNUMBER(I497),IF(I497&lt;10,"ультра-НЧ",IF(I497&lt;100,"НЧ",IF(I497&lt;=1000,"СЧ","ВЧ"))),"нет данных"))</f>
        <v>нет данных</v>
      </c>
      <c r="L497" s="12" t="str">
        <f aca="false">IF(AND(ISNUMBER(G497),G497&gt;0,ISNUMBER(I497)),I497/G497,"")</f>
        <v/>
      </c>
      <c r="M497" s="10" t="s">
        <v>105</v>
      </c>
      <c r="N497" s="10" t="s">
        <v>754</v>
      </c>
      <c r="O497" s="10" t="s">
        <v>107</v>
      </c>
    </row>
    <row r="498" customFormat="false" ht="15" hidden="false" customHeight="false" outlineLevel="0" collapsed="false">
      <c r="A498" s="10" t="n">
        <v>497</v>
      </c>
      <c r="B498" s="10" t="s">
        <v>755</v>
      </c>
      <c r="C498" s="10" t="s">
        <v>522</v>
      </c>
      <c r="D498" s="10" t="s">
        <v>523</v>
      </c>
      <c r="E498" s="10" t="s">
        <v>92</v>
      </c>
      <c r="F498" s="10" t="s">
        <v>136</v>
      </c>
      <c r="G498" s="11" t="n">
        <v>30</v>
      </c>
      <c r="H498" s="11"/>
      <c r="I498" s="11"/>
      <c r="J498" s="11"/>
      <c r="K498" s="10" t="str">
        <f aca="false">IF(ISNUMBER(J498),IF(J498&lt;10,"ультра-НЧ",IF(J498&lt;100,"НЧ",IF(J498&lt;=1000,"СЧ","ВЧ"))),IF(ISNUMBER(I498),IF(I498&lt;10,"ультра-НЧ",IF(I498&lt;100,"НЧ",IF(I498&lt;=1000,"СЧ","ВЧ"))),"нет данных"))</f>
        <v>нет данных</v>
      </c>
      <c r="L498" s="12" t="str">
        <f aca="false">IF(AND(ISNUMBER(G498),G498&gt;0,ISNUMBER(I498)),I498/G498,"")</f>
        <v/>
      </c>
      <c r="M498" s="10" t="s">
        <v>105</v>
      </c>
      <c r="N498" s="10" t="s">
        <v>755</v>
      </c>
      <c r="O498" s="10" t="s">
        <v>107</v>
      </c>
    </row>
    <row r="499" customFormat="false" ht="15" hidden="false" customHeight="false" outlineLevel="0" collapsed="false">
      <c r="A499" s="10" t="n">
        <v>498</v>
      </c>
      <c r="B499" s="10" t="s">
        <v>756</v>
      </c>
      <c r="C499" s="10" t="s">
        <v>522</v>
      </c>
      <c r="D499" s="10" t="s">
        <v>523</v>
      </c>
      <c r="E499" s="10" t="s">
        <v>92</v>
      </c>
      <c r="F499" s="10" t="s">
        <v>136</v>
      </c>
      <c r="G499" s="11" t="n">
        <v>30</v>
      </c>
      <c r="H499" s="11"/>
      <c r="I499" s="11"/>
      <c r="J499" s="11"/>
      <c r="K499" s="10" t="str">
        <f aca="false">IF(ISNUMBER(J499),IF(J499&lt;10,"ультра-НЧ",IF(J499&lt;100,"НЧ",IF(J499&lt;=1000,"СЧ","ВЧ"))),IF(ISNUMBER(I499),IF(I499&lt;10,"ультра-НЧ",IF(I499&lt;100,"НЧ",IF(I499&lt;=1000,"СЧ","ВЧ"))),"нет данных"))</f>
        <v>нет данных</v>
      </c>
      <c r="L499" s="12" t="str">
        <f aca="false">IF(AND(ISNUMBER(G499),G499&gt;0,ISNUMBER(I499)),I499/G499,"")</f>
        <v/>
      </c>
      <c r="M499" s="10" t="s">
        <v>105</v>
      </c>
      <c r="N499" s="10" t="s">
        <v>756</v>
      </c>
      <c r="O499" s="10" t="s">
        <v>107</v>
      </c>
    </row>
    <row r="500" customFormat="false" ht="15" hidden="false" customHeight="false" outlineLevel="0" collapsed="false">
      <c r="A500" s="10" t="n">
        <v>499</v>
      </c>
      <c r="B500" s="10" t="s">
        <v>757</v>
      </c>
      <c r="C500" s="10" t="s">
        <v>522</v>
      </c>
      <c r="D500" s="10" t="s">
        <v>523</v>
      </c>
      <c r="E500" s="10" t="s">
        <v>92</v>
      </c>
      <c r="F500" s="10" t="s">
        <v>136</v>
      </c>
      <c r="G500" s="11" t="n">
        <v>30</v>
      </c>
      <c r="H500" s="11"/>
      <c r="I500" s="11"/>
      <c r="J500" s="11"/>
      <c r="K500" s="10" t="str">
        <f aca="false">IF(ISNUMBER(J500),IF(J500&lt;10,"ультра-НЧ",IF(J500&lt;100,"НЧ",IF(J500&lt;=1000,"СЧ","ВЧ"))),IF(ISNUMBER(I500),IF(I500&lt;10,"ультра-НЧ",IF(I500&lt;100,"НЧ",IF(I500&lt;=1000,"СЧ","ВЧ"))),"нет данных"))</f>
        <v>нет данных</v>
      </c>
      <c r="L500" s="12" t="str">
        <f aca="false">IF(AND(ISNUMBER(G500),G500&gt;0,ISNUMBER(I500)),I500/G500,"")</f>
        <v/>
      </c>
      <c r="M500" s="10" t="s">
        <v>105</v>
      </c>
      <c r="N500" s="10" t="s">
        <v>757</v>
      </c>
      <c r="O500" s="10" t="s">
        <v>107</v>
      </c>
    </row>
    <row r="501" customFormat="false" ht="15" hidden="false" customHeight="false" outlineLevel="0" collapsed="false">
      <c r="A501" s="10" t="n">
        <v>500</v>
      </c>
      <c r="B501" s="10" t="s">
        <v>758</v>
      </c>
      <c r="C501" s="10" t="s">
        <v>522</v>
      </c>
      <c r="D501" s="10" t="s">
        <v>523</v>
      </c>
      <c r="E501" s="10" t="s">
        <v>92</v>
      </c>
      <c r="F501" s="10" t="s">
        <v>136</v>
      </c>
      <c r="G501" s="11" t="n">
        <v>30</v>
      </c>
      <c r="H501" s="11"/>
      <c r="I501" s="11"/>
      <c r="J501" s="11"/>
      <c r="K501" s="10" t="str">
        <f aca="false">IF(ISNUMBER(J501),IF(J501&lt;10,"ультра-НЧ",IF(J501&lt;100,"НЧ",IF(J501&lt;=1000,"СЧ","ВЧ"))),IF(ISNUMBER(I501),IF(I501&lt;10,"ультра-НЧ",IF(I501&lt;100,"НЧ",IF(I501&lt;=1000,"СЧ","ВЧ"))),"нет данных"))</f>
        <v>нет данных</v>
      </c>
      <c r="L501" s="12" t="str">
        <f aca="false">IF(AND(ISNUMBER(G501),G501&gt;0,ISNUMBER(I501)),I501/G501,"")</f>
        <v/>
      </c>
      <c r="M501" s="10" t="s">
        <v>105</v>
      </c>
      <c r="N501" s="10" t="s">
        <v>759</v>
      </c>
      <c r="O501" s="10" t="s">
        <v>107</v>
      </c>
    </row>
    <row r="502" customFormat="false" ht="15" hidden="false" customHeight="false" outlineLevel="0" collapsed="false">
      <c r="A502" s="10" t="n">
        <v>501</v>
      </c>
      <c r="B502" s="10" t="s">
        <v>760</v>
      </c>
      <c r="C502" s="10" t="s">
        <v>522</v>
      </c>
      <c r="D502" s="10" t="s">
        <v>523</v>
      </c>
      <c r="E502" s="10" t="s">
        <v>92</v>
      </c>
      <c r="F502" s="10" t="s">
        <v>136</v>
      </c>
      <c r="G502" s="11" t="n">
        <v>29</v>
      </c>
      <c r="H502" s="11"/>
      <c r="I502" s="11"/>
      <c r="J502" s="11"/>
      <c r="K502" s="10" t="str">
        <f aca="false">IF(ISNUMBER(J502),IF(J502&lt;10,"ультра-НЧ",IF(J502&lt;100,"НЧ",IF(J502&lt;=1000,"СЧ","ВЧ"))),IF(ISNUMBER(I502),IF(I502&lt;10,"ультра-НЧ",IF(I502&lt;100,"НЧ",IF(I502&lt;=1000,"СЧ","ВЧ"))),"нет данных"))</f>
        <v>нет данных</v>
      </c>
      <c r="L502" s="12" t="str">
        <f aca="false">IF(AND(ISNUMBER(G502),G502&gt;0,ISNUMBER(I502)),I502/G502,"")</f>
        <v/>
      </c>
      <c r="M502" s="10" t="s">
        <v>105</v>
      </c>
      <c r="N502" s="10" t="s">
        <v>760</v>
      </c>
      <c r="O502" s="10" t="s">
        <v>107</v>
      </c>
    </row>
    <row r="503" customFormat="false" ht="15" hidden="false" customHeight="false" outlineLevel="0" collapsed="false">
      <c r="A503" s="10" t="n">
        <v>502</v>
      </c>
      <c r="B503" s="10" t="s">
        <v>761</v>
      </c>
      <c r="C503" s="10" t="s">
        <v>522</v>
      </c>
      <c r="D503" s="10" t="s">
        <v>523</v>
      </c>
      <c r="E503" s="10" t="s">
        <v>92</v>
      </c>
      <c r="F503" s="10" t="s">
        <v>136</v>
      </c>
      <c r="G503" s="11" t="n">
        <v>29</v>
      </c>
      <c r="H503" s="11"/>
      <c r="I503" s="11"/>
      <c r="J503" s="11"/>
      <c r="K503" s="10" t="str">
        <f aca="false">IF(ISNUMBER(J503),IF(J503&lt;10,"ультра-НЧ",IF(J503&lt;100,"НЧ",IF(J503&lt;=1000,"СЧ","ВЧ"))),IF(ISNUMBER(I503),IF(I503&lt;10,"ультра-НЧ",IF(I503&lt;100,"НЧ",IF(I503&lt;=1000,"СЧ","ВЧ"))),"нет данных"))</f>
        <v>нет данных</v>
      </c>
      <c r="L503" s="12" t="str">
        <f aca="false">IF(AND(ISNUMBER(G503),G503&gt;0,ISNUMBER(I503)),I503/G503,"")</f>
        <v/>
      </c>
      <c r="M503" s="10" t="s">
        <v>105</v>
      </c>
      <c r="N503" s="10" t="s">
        <v>762</v>
      </c>
      <c r="O503" s="10" t="s">
        <v>107</v>
      </c>
    </row>
    <row r="504" customFormat="false" ht="15" hidden="false" customHeight="false" outlineLevel="0" collapsed="false">
      <c r="A504" s="10" t="n">
        <v>503</v>
      </c>
      <c r="B504" s="10" t="s">
        <v>763</v>
      </c>
      <c r="C504" s="10" t="s">
        <v>522</v>
      </c>
      <c r="D504" s="10" t="s">
        <v>523</v>
      </c>
      <c r="E504" s="10" t="s">
        <v>92</v>
      </c>
      <c r="F504" s="10" t="s">
        <v>136</v>
      </c>
      <c r="G504" s="11" t="n">
        <v>29</v>
      </c>
      <c r="H504" s="11"/>
      <c r="I504" s="11"/>
      <c r="J504" s="11"/>
      <c r="K504" s="10" t="str">
        <f aca="false">IF(ISNUMBER(J504),IF(J504&lt;10,"ультра-НЧ",IF(J504&lt;100,"НЧ",IF(J504&lt;=1000,"СЧ","ВЧ"))),IF(ISNUMBER(I504),IF(I504&lt;10,"ультра-НЧ",IF(I504&lt;100,"НЧ",IF(I504&lt;=1000,"СЧ","ВЧ"))),"нет данных"))</f>
        <v>нет данных</v>
      </c>
      <c r="L504" s="12" t="str">
        <f aca="false">IF(AND(ISNUMBER(G504),G504&gt;0,ISNUMBER(I504)),I504/G504,"")</f>
        <v/>
      </c>
      <c r="M504" s="10" t="s">
        <v>105</v>
      </c>
      <c r="N504" s="10" t="s">
        <v>763</v>
      </c>
      <c r="O504" s="10" t="s">
        <v>107</v>
      </c>
    </row>
    <row r="505" customFormat="false" ht="15" hidden="false" customHeight="false" outlineLevel="0" collapsed="false">
      <c r="A505" s="10" t="n">
        <v>504</v>
      </c>
      <c r="B505" s="10" t="s">
        <v>764</v>
      </c>
      <c r="C505" s="10" t="s">
        <v>522</v>
      </c>
      <c r="D505" s="10" t="s">
        <v>523</v>
      </c>
      <c r="E505" s="10" t="s">
        <v>92</v>
      </c>
      <c r="F505" s="10" t="s">
        <v>136</v>
      </c>
      <c r="G505" s="11" t="n">
        <v>29</v>
      </c>
      <c r="H505" s="11"/>
      <c r="I505" s="11"/>
      <c r="J505" s="11"/>
      <c r="K505" s="10" t="str">
        <f aca="false">IF(ISNUMBER(J505),IF(J505&lt;10,"ультра-НЧ",IF(J505&lt;100,"НЧ",IF(J505&lt;=1000,"СЧ","ВЧ"))),IF(ISNUMBER(I505),IF(I505&lt;10,"ультра-НЧ",IF(I505&lt;100,"НЧ",IF(I505&lt;=1000,"СЧ","ВЧ"))),"нет данных"))</f>
        <v>нет данных</v>
      </c>
      <c r="L505" s="12" t="str">
        <f aca="false">IF(AND(ISNUMBER(G505),G505&gt;0,ISNUMBER(I505)),I505/G505,"")</f>
        <v/>
      </c>
      <c r="M505" s="10" t="s">
        <v>105</v>
      </c>
      <c r="N505" s="10" t="s">
        <v>764</v>
      </c>
      <c r="O505" s="10" t="s">
        <v>107</v>
      </c>
    </row>
    <row r="506" customFormat="false" ht="15" hidden="false" customHeight="false" outlineLevel="0" collapsed="false">
      <c r="A506" s="10" t="n">
        <v>505</v>
      </c>
      <c r="B506" s="10" t="s">
        <v>765</v>
      </c>
      <c r="C506" s="10" t="s">
        <v>522</v>
      </c>
      <c r="D506" s="10" t="s">
        <v>523</v>
      </c>
      <c r="E506" s="10" t="s">
        <v>92</v>
      </c>
      <c r="F506" s="10" t="s">
        <v>136</v>
      </c>
      <c r="G506" s="11" t="n">
        <v>29</v>
      </c>
      <c r="H506" s="11"/>
      <c r="I506" s="11"/>
      <c r="J506" s="11"/>
      <c r="K506" s="10" t="str">
        <f aca="false">IF(ISNUMBER(J506),IF(J506&lt;10,"ультра-НЧ",IF(J506&lt;100,"НЧ",IF(J506&lt;=1000,"СЧ","ВЧ"))),IF(ISNUMBER(I506),IF(I506&lt;10,"ультра-НЧ",IF(I506&lt;100,"НЧ",IF(I506&lt;=1000,"СЧ","ВЧ"))),"нет данных"))</f>
        <v>нет данных</v>
      </c>
      <c r="L506" s="12" t="str">
        <f aca="false">IF(AND(ISNUMBER(G506),G506&gt;0,ISNUMBER(I506)),I506/G506,"")</f>
        <v/>
      </c>
      <c r="M506" s="10" t="s">
        <v>105</v>
      </c>
      <c r="N506" s="10" t="s">
        <v>765</v>
      </c>
      <c r="O506" s="10" t="s">
        <v>107</v>
      </c>
    </row>
    <row r="507" customFormat="false" ht="15" hidden="false" customHeight="false" outlineLevel="0" collapsed="false">
      <c r="A507" s="10" t="n">
        <v>506</v>
      </c>
      <c r="B507" s="10" t="s">
        <v>766</v>
      </c>
      <c r="C507" s="10" t="s">
        <v>522</v>
      </c>
      <c r="D507" s="10" t="s">
        <v>523</v>
      </c>
      <c r="E507" s="10" t="s">
        <v>92</v>
      </c>
      <c r="F507" s="10" t="s">
        <v>136</v>
      </c>
      <c r="G507" s="11" t="n">
        <v>29</v>
      </c>
      <c r="H507" s="11"/>
      <c r="I507" s="11"/>
      <c r="J507" s="11"/>
      <c r="K507" s="10" t="str">
        <f aca="false">IF(ISNUMBER(J507),IF(J507&lt;10,"ультра-НЧ",IF(J507&lt;100,"НЧ",IF(J507&lt;=1000,"СЧ","ВЧ"))),IF(ISNUMBER(I507),IF(I507&lt;10,"ультра-НЧ",IF(I507&lt;100,"НЧ",IF(I507&lt;=1000,"СЧ","ВЧ"))),"нет данных"))</f>
        <v>нет данных</v>
      </c>
      <c r="L507" s="12" t="str">
        <f aca="false">IF(AND(ISNUMBER(G507),G507&gt;0,ISNUMBER(I507)),I507/G507,"")</f>
        <v/>
      </c>
      <c r="M507" s="10" t="s">
        <v>105</v>
      </c>
      <c r="N507" s="10" t="s">
        <v>766</v>
      </c>
      <c r="O507" s="10" t="s">
        <v>107</v>
      </c>
    </row>
    <row r="508" customFormat="false" ht="15" hidden="false" customHeight="false" outlineLevel="0" collapsed="false">
      <c r="A508" s="10" t="n">
        <v>507</v>
      </c>
      <c r="B508" s="10" t="s">
        <v>767</v>
      </c>
      <c r="C508" s="10" t="s">
        <v>522</v>
      </c>
      <c r="D508" s="10" t="s">
        <v>523</v>
      </c>
      <c r="E508" s="10" t="s">
        <v>92</v>
      </c>
      <c r="F508" s="10" t="s">
        <v>136</v>
      </c>
      <c r="G508" s="11" t="n">
        <v>28</v>
      </c>
      <c r="H508" s="11"/>
      <c r="I508" s="11"/>
      <c r="J508" s="11"/>
      <c r="K508" s="10" t="str">
        <f aca="false">IF(ISNUMBER(J508),IF(J508&lt;10,"ультра-НЧ",IF(J508&lt;100,"НЧ",IF(J508&lt;=1000,"СЧ","ВЧ"))),IF(ISNUMBER(I508),IF(I508&lt;10,"ультра-НЧ",IF(I508&lt;100,"НЧ",IF(I508&lt;=1000,"СЧ","ВЧ"))),"нет данных"))</f>
        <v>нет данных</v>
      </c>
      <c r="L508" s="12" t="str">
        <f aca="false">IF(AND(ISNUMBER(G508),G508&gt;0,ISNUMBER(I508)),I508/G508,"")</f>
        <v/>
      </c>
      <c r="M508" s="10" t="s">
        <v>105</v>
      </c>
      <c r="N508" s="10" t="s">
        <v>767</v>
      </c>
      <c r="O508" s="10" t="s">
        <v>107</v>
      </c>
    </row>
    <row r="509" customFormat="false" ht="15" hidden="false" customHeight="false" outlineLevel="0" collapsed="false">
      <c r="A509" s="10" t="n">
        <v>508</v>
      </c>
      <c r="B509" s="10" t="s">
        <v>768</v>
      </c>
      <c r="C509" s="10" t="s">
        <v>522</v>
      </c>
      <c r="D509" s="10" t="s">
        <v>523</v>
      </c>
      <c r="E509" s="10" t="s">
        <v>92</v>
      </c>
      <c r="F509" s="10" t="s">
        <v>136</v>
      </c>
      <c r="G509" s="11" t="n">
        <v>28</v>
      </c>
      <c r="H509" s="11"/>
      <c r="I509" s="11"/>
      <c r="J509" s="11"/>
      <c r="K509" s="10" t="str">
        <f aca="false">IF(ISNUMBER(J509),IF(J509&lt;10,"ультра-НЧ",IF(J509&lt;100,"НЧ",IF(J509&lt;=1000,"СЧ","ВЧ"))),IF(ISNUMBER(I509),IF(I509&lt;10,"ультра-НЧ",IF(I509&lt;100,"НЧ",IF(I509&lt;=1000,"СЧ","ВЧ"))),"нет данных"))</f>
        <v>нет данных</v>
      </c>
      <c r="L509" s="12" t="str">
        <f aca="false">IF(AND(ISNUMBER(G509),G509&gt;0,ISNUMBER(I509)),I509/G509,"")</f>
        <v/>
      </c>
      <c r="M509" s="10" t="s">
        <v>105</v>
      </c>
      <c r="N509" s="10" t="s">
        <v>768</v>
      </c>
      <c r="O509" s="10" t="s">
        <v>107</v>
      </c>
    </row>
    <row r="510" customFormat="false" ht="15" hidden="false" customHeight="false" outlineLevel="0" collapsed="false">
      <c r="A510" s="10" t="n">
        <v>509</v>
      </c>
      <c r="B510" s="10" t="s">
        <v>769</v>
      </c>
      <c r="C510" s="10" t="s">
        <v>522</v>
      </c>
      <c r="D510" s="10" t="s">
        <v>523</v>
      </c>
      <c r="E510" s="10" t="s">
        <v>92</v>
      </c>
      <c r="F510" s="10" t="s">
        <v>136</v>
      </c>
      <c r="G510" s="11" t="n">
        <v>28</v>
      </c>
      <c r="H510" s="11"/>
      <c r="I510" s="11"/>
      <c r="J510" s="11"/>
      <c r="K510" s="10" t="str">
        <f aca="false">IF(ISNUMBER(J510),IF(J510&lt;10,"ультра-НЧ",IF(J510&lt;100,"НЧ",IF(J510&lt;=1000,"СЧ","ВЧ"))),IF(ISNUMBER(I510),IF(I510&lt;10,"ультра-НЧ",IF(I510&lt;100,"НЧ",IF(I510&lt;=1000,"СЧ","ВЧ"))),"нет данных"))</f>
        <v>нет данных</v>
      </c>
      <c r="L510" s="12" t="str">
        <f aca="false">IF(AND(ISNUMBER(G510),G510&gt;0,ISNUMBER(I510)),I510/G510,"")</f>
        <v/>
      </c>
      <c r="M510" s="10" t="s">
        <v>105</v>
      </c>
      <c r="N510" s="10" t="s">
        <v>770</v>
      </c>
      <c r="O510" s="10" t="s">
        <v>107</v>
      </c>
    </row>
    <row r="511" customFormat="false" ht="15" hidden="false" customHeight="false" outlineLevel="0" collapsed="false">
      <c r="A511" s="10" t="n">
        <v>510</v>
      </c>
      <c r="B511" s="10" t="s">
        <v>771</v>
      </c>
      <c r="C511" s="10" t="s">
        <v>522</v>
      </c>
      <c r="D511" s="10" t="s">
        <v>523</v>
      </c>
      <c r="E511" s="10" t="s">
        <v>92</v>
      </c>
      <c r="F511" s="10" t="s">
        <v>136</v>
      </c>
      <c r="G511" s="11" t="n">
        <v>27</v>
      </c>
      <c r="H511" s="11"/>
      <c r="I511" s="11"/>
      <c r="J511" s="11"/>
      <c r="K511" s="10" t="str">
        <f aca="false">IF(ISNUMBER(J511),IF(J511&lt;10,"ультра-НЧ",IF(J511&lt;100,"НЧ",IF(J511&lt;=1000,"СЧ","ВЧ"))),IF(ISNUMBER(I511),IF(I511&lt;10,"ультра-НЧ",IF(I511&lt;100,"НЧ",IF(I511&lt;=1000,"СЧ","ВЧ"))),"нет данных"))</f>
        <v>нет данных</v>
      </c>
      <c r="L511" s="12" t="str">
        <f aca="false">IF(AND(ISNUMBER(G511),G511&gt;0,ISNUMBER(I511)),I511/G511,"")</f>
        <v/>
      </c>
      <c r="M511" s="10" t="s">
        <v>105</v>
      </c>
      <c r="N511" s="10" t="s">
        <v>771</v>
      </c>
      <c r="O511" s="10" t="s">
        <v>107</v>
      </c>
    </row>
    <row r="512" customFormat="false" ht="15" hidden="false" customHeight="false" outlineLevel="0" collapsed="false">
      <c r="A512" s="10" t="n">
        <v>511</v>
      </c>
      <c r="B512" s="10" t="s">
        <v>772</v>
      </c>
      <c r="C512" s="10" t="s">
        <v>522</v>
      </c>
      <c r="D512" s="10" t="s">
        <v>523</v>
      </c>
      <c r="E512" s="10" t="s">
        <v>92</v>
      </c>
      <c r="F512" s="10" t="s">
        <v>136</v>
      </c>
      <c r="G512" s="11" t="n">
        <v>27</v>
      </c>
      <c r="H512" s="11"/>
      <c r="I512" s="11"/>
      <c r="J512" s="11"/>
      <c r="K512" s="10" t="str">
        <f aca="false">IF(ISNUMBER(J512),IF(J512&lt;10,"ультра-НЧ",IF(J512&lt;100,"НЧ",IF(J512&lt;=1000,"СЧ","ВЧ"))),IF(ISNUMBER(I512),IF(I512&lt;10,"ультра-НЧ",IF(I512&lt;100,"НЧ",IF(I512&lt;=1000,"СЧ","ВЧ"))),"нет данных"))</f>
        <v>нет данных</v>
      </c>
      <c r="L512" s="12" t="str">
        <f aca="false">IF(AND(ISNUMBER(G512),G512&gt;0,ISNUMBER(I512)),I512/G512,"")</f>
        <v/>
      </c>
      <c r="M512" s="10" t="s">
        <v>105</v>
      </c>
      <c r="N512" s="10" t="s">
        <v>773</v>
      </c>
      <c r="O512" s="10" t="s">
        <v>107</v>
      </c>
    </row>
    <row r="513" customFormat="false" ht="15" hidden="false" customHeight="false" outlineLevel="0" collapsed="false">
      <c r="A513" s="10" t="n">
        <v>512</v>
      </c>
      <c r="B513" s="10" t="s">
        <v>774</v>
      </c>
      <c r="C513" s="10" t="s">
        <v>522</v>
      </c>
      <c r="D513" s="10" t="s">
        <v>523</v>
      </c>
      <c r="E513" s="10" t="s">
        <v>92</v>
      </c>
      <c r="F513" s="10" t="s">
        <v>136</v>
      </c>
      <c r="G513" s="11" t="n">
        <v>27</v>
      </c>
      <c r="H513" s="11"/>
      <c r="I513" s="11"/>
      <c r="J513" s="11"/>
      <c r="K513" s="10" t="str">
        <f aca="false">IF(ISNUMBER(J513),IF(J513&lt;10,"ультра-НЧ",IF(J513&lt;100,"НЧ",IF(J513&lt;=1000,"СЧ","ВЧ"))),IF(ISNUMBER(I513),IF(I513&lt;10,"ультра-НЧ",IF(I513&lt;100,"НЧ",IF(I513&lt;=1000,"СЧ","ВЧ"))),"нет данных"))</f>
        <v>нет данных</v>
      </c>
      <c r="L513" s="12" t="str">
        <f aca="false">IF(AND(ISNUMBER(G513),G513&gt;0,ISNUMBER(I513)),I513/G513,"")</f>
        <v/>
      </c>
      <c r="M513" s="10" t="s">
        <v>105</v>
      </c>
      <c r="N513" s="10" t="s">
        <v>774</v>
      </c>
      <c r="O513" s="10" t="s">
        <v>107</v>
      </c>
    </row>
    <row r="514" customFormat="false" ht="15" hidden="false" customHeight="false" outlineLevel="0" collapsed="false">
      <c r="A514" s="10" t="n">
        <v>513</v>
      </c>
      <c r="B514" s="10" t="s">
        <v>775</v>
      </c>
      <c r="C514" s="10" t="s">
        <v>522</v>
      </c>
      <c r="D514" s="10" t="s">
        <v>523</v>
      </c>
      <c r="E514" s="10" t="s">
        <v>92</v>
      </c>
      <c r="F514" s="10" t="s">
        <v>136</v>
      </c>
      <c r="G514" s="11" t="n">
        <v>27</v>
      </c>
      <c r="H514" s="11"/>
      <c r="I514" s="11"/>
      <c r="J514" s="11"/>
      <c r="K514" s="10" t="str">
        <f aca="false">IF(ISNUMBER(J514),IF(J514&lt;10,"ультра-НЧ",IF(J514&lt;100,"НЧ",IF(J514&lt;=1000,"СЧ","ВЧ"))),IF(ISNUMBER(I514),IF(I514&lt;10,"ультра-НЧ",IF(I514&lt;100,"НЧ",IF(I514&lt;=1000,"СЧ","ВЧ"))),"нет данных"))</f>
        <v>нет данных</v>
      </c>
      <c r="L514" s="12" t="str">
        <f aca="false">IF(AND(ISNUMBER(G514),G514&gt;0,ISNUMBER(I514)),I514/G514,"")</f>
        <v/>
      </c>
      <c r="M514" s="10" t="s">
        <v>105</v>
      </c>
      <c r="N514" s="10" t="s">
        <v>775</v>
      </c>
      <c r="O514" s="10" t="s">
        <v>107</v>
      </c>
    </row>
    <row r="515" customFormat="false" ht="15" hidden="false" customHeight="false" outlineLevel="0" collapsed="false">
      <c r="A515" s="10" t="n">
        <v>514</v>
      </c>
      <c r="B515" s="10" t="s">
        <v>776</v>
      </c>
      <c r="C515" s="10" t="s">
        <v>522</v>
      </c>
      <c r="D515" s="10" t="s">
        <v>523</v>
      </c>
      <c r="E515" s="10" t="s">
        <v>92</v>
      </c>
      <c r="F515" s="10" t="s">
        <v>136</v>
      </c>
      <c r="G515" s="11" t="n">
        <v>27</v>
      </c>
      <c r="H515" s="11"/>
      <c r="I515" s="11"/>
      <c r="J515" s="11"/>
      <c r="K515" s="10" t="str">
        <f aca="false">IF(ISNUMBER(J515),IF(J515&lt;10,"ультра-НЧ",IF(J515&lt;100,"НЧ",IF(J515&lt;=1000,"СЧ","ВЧ"))),IF(ISNUMBER(I515),IF(I515&lt;10,"ультра-НЧ",IF(I515&lt;100,"НЧ",IF(I515&lt;=1000,"СЧ","ВЧ"))),"нет данных"))</f>
        <v>нет данных</v>
      </c>
      <c r="L515" s="12" t="str">
        <f aca="false">IF(AND(ISNUMBER(G515),G515&gt;0,ISNUMBER(I515)),I515/G515,"")</f>
        <v/>
      </c>
      <c r="M515" s="10" t="s">
        <v>105</v>
      </c>
      <c r="N515" s="10" t="s">
        <v>776</v>
      </c>
      <c r="O515" s="10" t="s">
        <v>107</v>
      </c>
    </row>
    <row r="516" customFormat="false" ht="15" hidden="false" customHeight="false" outlineLevel="0" collapsed="false">
      <c r="A516" s="10" t="n">
        <v>515</v>
      </c>
      <c r="B516" s="10" t="s">
        <v>777</v>
      </c>
      <c r="C516" s="10" t="s">
        <v>522</v>
      </c>
      <c r="D516" s="10" t="s">
        <v>523</v>
      </c>
      <c r="E516" s="10" t="s">
        <v>92</v>
      </c>
      <c r="F516" s="10" t="s">
        <v>136</v>
      </c>
      <c r="G516" s="11" t="n">
        <v>27</v>
      </c>
      <c r="H516" s="11"/>
      <c r="I516" s="11"/>
      <c r="J516" s="11"/>
      <c r="K516" s="10" t="str">
        <f aca="false">IF(ISNUMBER(J516),IF(J516&lt;10,"ультра-НЧ",IF(J516&lt;100,"НЧ",IF(J516&lt;=1000,"СЧ","ВЧ"))),IF(ISNUMBER(I516),IF(I516&lt;10,"ультра-НЧ",IF(I516&lt;100,"НЧ",IF(I516&lt;=1000,"СЧ","ВЧ"))),"нет данных"))</f>
        <v>нет данных</v>
      </c>
      <c r="L516" s="12" t="str">
        <f aca="false">IF(AND(ISNUMBER(G516),G516&gt;0,ISNUMBER(I516)),I516/G516,"")</f>
        <v/>
      </c>
      <c r="M516" s="10" t="s">
        <v>105</v>
      </c>
      <c r="N516" s="10" t="s">
        <v>777</v>
      </c>
      <c r="O516" s="10" t="s">
        <v>107</v>
      </c>
    </row>
    <row r="517" customFormat="false" ht="15" hidden="false" customHeight="false" outlineLevel="0" collapsed="false">
      <c r="A517" s="10" t="n">
        <v>516</v>
      </c>
      <c r="B517" s="10" t="s">
        <v>778</v>
      </c>
      <c r="C517" s="10" t="s">
        <v>522</v>
      </c>
      <c r="D517" s="10" t="s">
        <v>523</v>
      </c>
      <c r="E517" s="10" t="s">
        <v>92</v>
      </c>
      <c r="F517" s="10" t="s">
        <v>136</v>
      </c>
      <c r="G517" s="11" t="n">
        <v>27</v>
      </c>
      <c r="H517" s="11"/>
      <c r="I517" s="11"/>
      <c r="J517" s="11"/>
      <c r="K517" s="10" t="str">
        <f aca="false">IF(ISNUMBER(J517),IF(J517&lt;10,"ультра-НЧ",IF(J517&lt;100,"НЧ",IF(J517&lt;=1000,"СЧ","ВЧ"))),IF(ISNUMBER(I517),IF(I517&lt;10,"ультра-НЧ",IF(I517&lt;100,"НЧ",IF(I517&lt;=1000,"СЧ","ВЧ"))),"нет данных"))</f>
        <v>нет данных</v>
      </c>
      <c r="L517" s="12" t="str">
        <f aca="false">IF(AND(ISNUMBER(G517),G517&gt;0,ISNUMBER(I517)),I517/G517,"")</f>
        <v/>
      </c>
      <c r="M517" s="10" t="s">
        <v>105</v>
      </c>
      <c r="N517" s="10" t="s">
        <v>779</v>
      </c>
      <c r="O517" s="10" t="s">
        <v>107</v>
      </c>
    </row>
    <row r="518" customFormat="false" ht="15" hidden="false" customHeight="false" outlineLevel="0" collapsed="false">
      <c r="A518" s="10" t="n">
        <v>517</v>
      </c>
      <c r="B518" s="10" t="s">
        <v>780</v>
      </c>
      <c r="C518" s="10" t="s">
        <v>522</v>
      </c>
      <c r="D518" s="10" t="s">
        <v>523</v>
      </c>
      <c r="E518" s="10" t="s">
        <v>92</v>
      </c>
      <c r="F518" s="10" t="s">
        <v>136</v>
      </c>
      <c r="G518" s="11" t="n">
        <v>26</v>
      </c>
      <c r="H518" s="11"/>
      <c r="I518" s="11"/>
      <c r="J518" s="11"/>
      <c r="K518" s="10" t="str">
        <f aca="false">IF(ISNUMBER(J518),IF(J518&lt;10,"ультра-НЧ",IF(J518&lt;100,"НЧ",IF(J518&lt;=1000,"СЧ","ВЧ"))),IF(ISNUMBER(I518),IF(I518&lt;10,"ультра-НЧ",IF(I518&lt;100,"НЧ",IF(I518&lt;=1000,"СЧ","ВЧ"))),"нет данных"))</f>
        <v>нет данных</v>
      </c>
      <c r="L518" s="12" t="str">
        <f aca="false">IF(AND(ISNUMBER(G518),G518&gt;0,ISNUMBER(I518)),I518/G518,"")</f>
        <v/>
      </c>
      <c r="M518" s="10" t="s">
        <v>105</v>
      </c>
      <c r="N518" s="10" t="s">
        <v>780</v>
      </c>
      <c r="O518" s="10" t="s">
        <v>107</v>
      </c>
    </row>
    <row r="519" customFormat="false" ht="15" hidden="false" customHeight="false" outlineLevel="0" collapsed="false">
      <c r="A519" s="10" t="n">
        <v>518</v>
      </c>
      <c r="B519" s="10" t="s">
        <v>781</v>
      </c>
      <c r="C519" s="10" t="s">
        <v>522</v>
      </c>
      <c r="D519" s="10" t="s">
        <v>523</v>
      </c>
      <c r="E519" s="10" t="s">
        <v>92</v>
      </c>
      <c r="F519" s="10" t="s">
        <v>136</v>
      </c>
      <c r="G519" s="11" t="n">
        <v>26</v>
      </c>
      <c r="H519" s="11"/>
      <c r="I519" s="11"/>
      <c r="J519" s="11"/>
      <c r="K519" s="10" t="str">
        <f aca="false">IF(ISNUMBER(J519),IF(J519&lt;10,"ультра-НЧ",IF(J519&lt;100,"НЧ",IF(J519&lt;=1000,"СЧ","ВЧ"))),IF(ISNUMBER(I519),IF(I519&lt;10,"ультра-НЧ",IF(I519&lt;100,"НЧ",IF(I519&lt;=1000,"СЧ","ВЧ"))),"нет данных"))</f>
        <v>нет данных</v>
      </c>
      <c r="L519" s="12" t="str">
        <f aca="false">IF(AND(ISNUMBER(G519),G519&gt;0,ISNUMBER(I519)),I519/G519,"")</f>
        <v/>
      </c>
      <c r="M519" s="10" t="s">
        <v>105</v>
      </c>
      <c r="N519" s="10" t="s">
        <v>781</v>
      </c>
      <c r="O519" s="10" t="s">
        <v>107</v>
      </c>
    </row>
    <row r="520" customFormat="false" ht="15" hidden="false" customHeight="false" outlineLevel="0" collapsed="false">
      <c r="A520" s="10" t="n">
        <v>519</v>
      </c>
      <c r="B520" s="10" t="s">
        <v>782</v>
      </c>
      <c r="C520" s="10" t="s">
        <v>522</v>
      </c>
      <c r="D520" s="10" t="s">
        <v>523</v>
      </c>
      <c r="E520" s="10" t="s">
        <v>92</v>
      </c>
      <c r="F520" s="10" t="s">
        <v>136</v>
      </c>
      <c r="G520" s="11" t="n">
        <v>26</v>
      </c>
      <c r="H520" s="11"/>
      <c r="I520" s="11"/>
      <c r="J520" s="11"/>
      <c r="K520" s="10" t="str">
        <f aca="false">IF(ISNUMBER(J520),IF(J520&lt;10,"ультра-НЧ",IF(J520&lt;100,"НЧ",IF(J520&lt;=1000,"СЧ","ВЧ"))),IF(ISNUMBER(I520),IF(I520&lt;10,"ультра-НЧ",IF(I520&lt;100,"НЧ",IF(I520&lt;=1000,"СЧ","ВЧ"))),"нет данных"))</f>
        <v>нет данных</v>
      </c>
      <c r="L520" s="12" t="str">
        <f aca="false">IF(AND(ISNUMBER(G520),G520&gt;0,ISNUMBER(I520)),I520/G520,"")</f>
        <v/>
      </c>
      <c r="M520" s="10" t="s">
        <v>105</v>
      </c>
      <c r="N520" s="10" t="s">
        <v>782</v>
      </c>
      <c r="O520" s="10" t="s">
        <v>107</v>
      </c>
    </row>
    <row r="521" customFormat="false" ht="15" hidden="false" customHeight="false" outlineLevel="0" collapsed="false">
      <c r="A521" s="10" t="n">
        <v>520</v>
      </c>
      <c r="B521" s="10" t="s">
        <v>783</v>
      </c>
      <c r="C521" s="10" t="s">
        <v>522</v>
      </c>
      <c r="D521" s="10" t="s">
        <v>523</v>
      </c>
      <c r="E521" s="10" t="s">
        <v>92</v>
      </c>
      <c r="F521" s="10" t="s">
        <v>136</v>
      </c>
      <c r="G521" s="11" t="n">
        <v>26</v>
      </c>
      <c r="H521" s="11"/>
      <c r="I521" s="11"/>
      <c r="J521" s="11"/>
      <c r="K521" s="10" t="str">
        <f aca="false">IF(ISNUMBER(J521),IF(J521&lt;10,"ультра-НЧ",IF(J521&lt;100,"НЧ",IF(J521&lt;=1000,"СЧ","ВЧ"))),IF(ISNUMBER(I521),IF(I521&lt;10,"ультра-НЧ",IF(I521&lt;100,"НЧ",IF(I521&lt;=1000,"СЧ","ВЧ"))),"нет данных"))</f>
        <v>нет данных</v>
      </c>
      <c r="L521" s="12" t="str">
        <f aca="false">IF(AND(ISNUMBER(G521),G521&gt;0,ISNUMBER(I521)),I521/G521,"")</f>
        <v/>
      </c>
      <c r="M521" s="10" t="s">
        <v>105</v>
      </c>
      <c r="N521" s="10" t="s">
        <v>783</v>
      </c>
      <c r="O521" s="10" t="s">
        <v>107</v>
      </c>
    </row>
    <row r="522" customFormat="false" ht="15" hidden="false" customHeight="false" outlineLevel="0" collapsed="false">
      <c r="A522" s="10" t="n">
        <v>521</v>
      </c>
      <c r="B522" s="10" t="s">
        <v>784</v>
      </c>
      <c r="C522" s="10" t="s">
        <v>522</v>
      </c>
      <c r="D522" s="10" t="s">
        <v>523</v>
      </c>
      <c r="E522" s="10" t="s">
        <v>92</v>
      </c>
      <c r="F522" s="10" t="s">
        <v>136</v>
      </c>
      <c r="G522" s="11" t="n">
        <v>25</v>
      </c>
      <c r="H522" s="11"/>
      <c r="I522" s="11"/>
      <c r="J522" s="11"/>
      <c r="K522" s="10" t="str">
        <f aca="false">IF(ISNUMBER(J522),IF(J522&lt;10,"ультра-НЧ",IF(J522&lt;100,"НЧ",IF(J522&lt;=1000,"СЧ","ВЧ"))),IF(ISNUMBER(I522),IF(I522&lt;10,"ультра-НЧ",IF(I522&lt;100,"НЧ",IF(I522&lt;=1000,"СЧ","ВЧ"))),"нет данных"))</f>
        <v>нет данных</v>
      </c>
      <c r="L522" s="12" t="str">
        <f aca="false">IF(AND(ISNUMBER(G522),G522&gt;0,ISNUMBER(I522)),I522/G522,"")</f>
        <v/>
      </c>
      <c r="M522" s="10" t="s">
        <v>105</v>
      </c>
      <c r="N522" s="10" t="s">
        <v>784</v>
      </c>
      <c r="O522" s="10" t="s">
        <v>107</v>
      </c>
    </row>
    <row r="523" customFormat="false" ht="15" hidden="false" customHeight="false" outlineLevel="0" collapsed="false">
      <c r="A523" s="10" t="n">
        <v>522</v>
      </c>
      <c r="B523" s="10" t="s">
        <v>785</v>
      </c>
      <c r="C523" s="10" t="s">
        <v>522</v>
      </c>
      <c r="D523" s="10" t="s">
        <v>523</v>
      </c>
      <c r="E523" s="10" t="s">
        <v>92</v>
      </c>
      <c r="F523" s="10" t="s">
        <v>136</v>
      </c>
      <c r="G523" s="11" t="n">
        <v>25</v>
      </c>
      <c r="H523" s="11"/>
      <c r="I523" s="11"/>
      <c r="J523" s="11"/>
      <c r="K523" s="10" t="str">
        <f aca="false">IF(ISNUMBER(J523),IF(J523&lt;10,"ультра-НЧ",IF(J523&lt;100,"НЧ",IF(J523&lt;=1000,"СЧ","ВЧ"))),IF(ISNUMBER(I523),IF(I523&lt;10,"ультра-НЧ",IF(I523&lt;100,"НЧ",IF(I523&lt;=1000,"СЧ","ВЧ"))),"нет данных"))</f>
        <v>нет данных</v>
      </c>
      <c r="L523" s="12" t="str">
        <f aca="false">IF(AND(ISNUMBER(G523),G523&gt;0,ISNUMBER(I523)),I523/G523,"")</f>
        <v/>
      </c>
      <c r="M523" s="10" t="s">
        <v>105</v>
      </c>
      <c r="N523" s="10" t="s">
        <v>785</v>
      </c>
      <c r="O523" s="10" t="s">
        <v>107</v>
      </c>
    </row>
    <row r="524" customFormat="false" ht="15" hidden="false" customHeight="false" outlineLevel="0" collapsed="false">
      <c r="A524" s="10" t="n">
        <v>523</v>
      </c>
      <c r="B524" s="10" t="s">
        <v>786</v>
      </c>
      <c r="C524" s="10" t="s">
        <v>522</v>
      </c>
      <c r="D524" s="10" t="s">
        <v>523</v>
      </c>
      <c r="E524" s="10" t="s">
        <v>92</v>
      </c>
      <c r="F524" s="10" t="s">
        <v>136</v>
      </c>
      <c r="G524" s="11" t="n">
        <v>25</v>
      </c>
      <c r="H524" s="11"/>
      <c r="I524" s="11"/>
      <c r="J524" s="11"/>
      <c r="K524" s="10" t="str">
        <f aca="false">IF(ISNUMBER(J524),IF(J524&lt;10,"ультра-НЧ",IF(J524&lt;100,"НЧ",IF(J524&lt;=1000,"СЧ","ВЧ"))),IF(ISNUMBER(I524),IF(I524&lt;10,"ультра-НЧ",IF(I524&lt;100,"НЧ",IF(I524&lt;=1000,"СЧ","ВЧ"))),"нет данных"))</f>
        <v>нет данных</v>
      </c>
      <c r="L524" s="12" t="str">
        <f aca="false">IF(AND(ISNUMBER(G524),G524&gt;0,ISNUMBER(I524)),I524/G524,"")</f>
        <v/>
      </c>
      <c r="M524" s="10" t="s">
        <v>105</v>
      </c>
      <c r="N524" s="10" t="s">
        <v>786</v>
      </c>
      <c r="O524" s="10" t="s">
        <v>107</v>
      </c>
    </row>
    <row r="525" customFormat="false" ht="15" hidden="false" customHeight="false" outlineLevel="0" collapsed="false">
      <c r="A525" s="10" t="n">
        <v>524</v>
      </c>
      <c r="B525" s="10" t="s">
        <v>787</v>
      </c>
      <c r="C525" s="10" t="s">
        <v>522</v>
      </c>
      <c r="D525" s="10" t="s">
        <v>523</v>
      </c>
      <c r="E525" s="10" t="s">
        <v>92</v>
      </c>
      <c r="F525" s="10" t="s">
        <v>136</v>
      </c>
      <c r="G525" s="11" t="n">
        <v>25</v>
      </c>
      <c r="H525" s="11"/>
      <c r="I525" s="11"/>
      <c r="J525" s="11"/>
      <c r="K525" s="10" t="str">
        <f aca="false">IF(ISNUMBER(J525),IF(J525&lt;10,"ультра-НЧ",IF(J525&lt;100,"НЧ",IF(J525&lt;=1000,"СЧ","ВЧ"))),IF(ISNUMBER(I525),IF(I525&lt;10,"ультра-НЧ",IF(I525&lt;100,"НЧ",IF(I525&lt;=1000,"СЧ","ВЧ"))),"нет данных"))</f>
        <v>нет данных</v>
      </c>
      <c r="L525" s="12" t="str">
        <f aca="false">IF(AND(ISNUMBER(G525),G525&gt;0,ISNUMBER(I525)),I525/G525,"")</f>
        <v/>
      </c>
      <c r="M525" s="10" t="s">
        <v>105</v>
      </c>
      <c r="N525" s="10" t="s">
        <v>787</v>
      </c>
      <c r="O525" s="10" t="s">
        <v>107</v>
      </c>
    </row>
    <row r="526" customFormat="false" ht="15" hidden="false" customHeight="false" outlineLevel="0" collapsed="false">
      <c r="A526" s="10" t="n">
        <v>525</v>
      </c>
      <c r="B526" s="10" t="s">
        <v>788</v>
      </c>
      <c r="C526" s="10" t="s">
        <v>522</v>
      </c>
      <c r="D526" s="10" t="s">
        <v>523</v>
      </c>
      <c r="E526" s="10" t="s">
        <v>92</v>
      </c>
      <c r="F526" s="10" t="s">
        <v>136</v>
      </c>
      <c r="G526" s="11" t="n">
        <v>25</v>
      </c>
      <c r="H526" s="11"/>
      <c r="I526" s="11"/>
      <c r="J526" s="11"/>
      <c r="K526" s="10" t="str">
        <f aca="false">IF(ISNUMBER(J526),IF(J526&lt;10,"ультра-НЧ",IF(J526&lt;100,"НЧ",IF(J526&lt;=1000,"СЧ","ВЧ"))),IF(ISNUMBER(I526),IF(I526&lt;10,"ультра-НЧ",IF(I526&lt;100,"НЧ",IF(I526&lt;=1000,"СЧ","ВЧ"))),"нет данных"))</f>
        <v>нет данных</v>
      </c>
      <c r="L526" s="12" t="str">
        <f aca="false">IF(AND(ISNUMBER(G526),G526&gt;0,ISNUMBER(I526)),I526/G526,"")</f>
        <v/>
      </c>
      <c r="M526" s="10" t="s">
        <v>105</v>
      </c>
      <c r="N526" s="10" t="s">
        <v>788</v>
      </c>
      <c r="O526" s="10" t="s">
        <v>107</v>
      </c>
    </row>
    <row r="527" customFormat="false" ht="15" hidden="false" customHeight="false" outlineLevel="0" collapsed="false">
      <c r="A527" s="10" t="n">
        <v>526</v>
      </c>
      <c r="B527" s="10" t="s">
        <v>789</v>
      </c>
      <c r="C527" s="10" t="s">
        <v>522</v>
      </c>
      <c r="D527" s="10" t="s">
        <v>523</v>
      </c>
      <c r="E527" s="10" t="s">
        <v>92</v>
      </c>
      <c r="F527" s="10" t="s">
        <v>136</v>
      </c>
      <c r="G527" s="11" t="n">
        <v>25</v>
      </c>
      <c r="H527" s="11"/>
      <c r="I527" s="11"/>
      <c r="J527" s="11"/>
      <c r="K527" s="10" t="str">
        <f aca="false">IF(ISNUMBER(J527),IF(J527&lt;10,"ультра-НЧ",IF(J527&lt;100,"НЧ",IF(J527&lt;=1000,"СЧ","ВЧ"))),IF(ISNUMBER(I527),IF(I527&lt;10,"ультра-НЧ",IF(I527&lt;100,"НЧ",IF(I527&lt;=1000,"СЧ","ВЧ"))),"нет данных"))</f>
        <v>нет данных</v>
      </c>
      <c r="L527" s="12" t="str">
        <f aca="false">IF(AND(ISNUMBER(G527),G527&gt;0,ISNUMBER(I527)),I527/G527,"")</f>
        <v/>
      </c>
      <c r="M527" s="10" t="s">
        <v>105</v>
      </c>
      <c r="N527" s="10" t="s">
        <v>789</v>
      </c>
      <c r="O527" s="10" t="s">
        <v>107</v>
      </c>
    </row>
    <row r="528" customFormat="false" ht="15" hidden="false" customHeight="false" outlineLevel="0" collapsed="false">
      <c r="A528" s="10" t="n">
        <v>527</v>
      </c>
      <c r="B528" s="10" t="s">
        <v>790</v>
      </c>
      <c r="C528" s="10" t="s">
        <v>522</v>
      </c>
      <c r="D528" s="10" t="s">
        <v>523</v>
      </c>
      <c r="E528" s="10" t="s">
        <v>92</v>
      </c>
      <c r="F528" s="10" t="s">
        <v>136</v>
      </c>
      <c r="G528" s="11" t="n">
        <v>25</v>
      </c>
      <c r="H528" s="11"/>
      <c r="I528" s="11"/>
      <c r="J528" s="11"/>
      <c r="K528" s="10" t="str">
        <f aca="false">IF(ISNUMBER(J528),IF(J528&lt;10,"ультра-НЧ",IF(J528&lt;100,"НЧ",IF(J528&lt;=1000,"СЧ","ВЧ"))),IF(ISNUMBER(I528),IF(I528&lt;10,"ультра-НЧ",IF(I528&lt;100,"НЧ",IF(I528&lt;=1000,"СЧ","ВЧ"))),"нет данных"))</f>
        <v>нет данных</v>
      </c>
      <c r="L528" s="12" t="str">
        <f aca="false">IF(AND(ISNUMBER(G528),G528&gt;0,ISNUMBER(I528)),I528/G528,"")</f>
        <v/>
      </c>
      <c r="M528" s="10" t="s">
        <v>105</v>
      </c>
      <c r="N528" s="10" t="s">
        <v>790</v>
      </c>
      <c r="O528" s="10" t="s">
        <v>107</v>
      </c>
    </row>
    <row r="529" customFormat="false" ht="15" hidden="false" customHeight="false" outlineLevel="0" collapsed="false">
      <c r="A529" s="10" t="n">
        <v>528</v>
      </c>
      <c r="B529" s="10" t="s">
        <v>791</v>
      </c>
      <c r="C529" s="10" t="s">
        <v>522</v>
      </c>
      <c r="D529" s="10" t="s">
        <v>523</v>
      </c>
      <c r="E529" s="10" t="s">
        <v>92</v>
      </c>
      <c r="F529" s="10" t="s">
        <v>136</v>
      </c>
      <c r="G529" s="11" t="n">
        <v>25</v>
      </c>
      <c r="H529" s="11"/>
      <c r="I529" s="11"/>
      <c r="J529" s="11"/>
      <c r="K529" s="10" t="str">
        <f aca="false">IF(ISNUMBER(J529),IF(J529&lt;10,"ультра-НЧ",IF(J529&lt;100,"НЧ",IF(J529&lt;=1000,"СЧ","ВЧ"))),IF(ISNUMBER(I529),IF(I529&lt;10,"ультра-НЧ",IF(I529&lt;100,"НЧ",IF(I529&lt;=1000,"СЧ","ВЧ"))),"нет данных"))</f>
        <v>нет данных</v>
      </c>
      <c r="L529" s="12" t="str">
        <f aca="false">IF(AND(ISNUMBER(G529),G529&gt;0,ISNUMBER(I529)),I529/G529,"")</f>
        <v/>
      </c>
      <c r="M529" s="10" t="s">
        <v>105</v>
      </c>
      <c r="N529" s="10" t="s">
        <v>792</v>
      </c>
      <c r="O529" s="10" t="s">
        <v>107</v>
      </c>
    </row>
    <row r="530" customFormat="false" ht="15" hidden="false" customHeight="false" outlineLevel="0" collapsed="false">
      <c r="A530" s="10" t="n">
        <v>529</v>
      </c>
      <c r="B530" s="10" t="s">
        <v>793</v>
      </c>
      <c r="C530" s="10" t="s">
        <v>522</v>
      </c>
      <c r="D530" s="10" t="s">
        <v>523</v>
      </c>
      <c r="E530" s="10" t="s">
        <v>92</v>
      </c>
      <c r="F530" s="10" t="s">
        <v>136</v>
      </c>
      <c r="G530" s="11" t="n">
        <v>25</v>
      </c>
      <c r="H530" s="11"/>
      <c r="I530" s="11"/>
      <c r="J530" s="11"/>
      <c r="K530" s="10" t="str">
        <f aca="false">IF(ISNUMBER(J530),IF(J530&lt;10,"ультра-НЧ",IF(J530&lt;100,"НЧ",IF(J530&lt;=1000,"СЧ","ВЧ"))),IF(ISNUMBER(I530),IF(I530&lt;10,"ультра-НЧ",IF(I530&lt;100,"НЧ",IF(I530&lt;=1000,"СЧ","ВЧ"))),"нет данных"))</f>
        <v>нет данных</v>
      </c>
      <c r="L530" s="12" t="str">
        <f aca="false">IF(AND(ISNUMBER(G530),G530&gt;0,ISNUMBER(I530)),I530/G530,"")</f>
        <v/>
      </c>
      <c r="M530" s="10" t="s">
        <v>105</v>
      </c>
      <c r="N530" s="10" t="s">
        <v>793</v>
      </c>
      <c r="O530" s="10" t="s">
        <v>107</v>
      </c>
    </row>
    <row r="531" customFormat="false" ht="15" hidden="false" customHeight="false" outlineLevel="0" collapsed="false">
      <c r="A531" s="10" t="n">
        <v>530</v>
      </c>
      <c r="B531" s="10" t="s">
        <v>794</v>
      </c>
      <c r="C531" s="10" t="s">
        <v>522</v>
      </c>
      <c r="D531" s="10" t="s">
        <v>523</v>
      </c>
      <c r="E531" s="10" t="s">
        <v>92</v>
      </c>
      <c r="F531" s="10" t="s">
        <v>136</v>
      </c>
      <c r="G531" s="11" t="n">
        <v>24</v>
      </c>
      <c r="H531" s="11"/>
      <c r="I531" s="11"/>
      <c r="J531" s="11"/>
      <c r="K531" s="10" t="str">
        <f aca="false">IF(ISNUMBER(J531),IF(J531&lt;10,"ультра-НЧ",IF(J531&lt;100,"НЧ",IF(J531&lt;=1000,"СЧ","ВЧ"))),IF(ISNUMBER(I531),IF(I531&lt;10,"ультра-НЧ",IF(I531&lt;100,"НЧ",IF(I531&lt;=1000,"СЧ","ВЧ"))),"нет данных"))</f>
        <v>нет данных</v>
      </c>
      <c r="L531" s="12" t="str">
        <f aca="false">IF(AND(ISNUMBER(G531),G531&gt;0,ISNUMBER(I531)),I531/G531,"")</f>
        <v/>
      </c>
      <c r="M531" s="10" t="s">
        <v>105</v>
      </c>
      <c r="N531" s="10" t="s">
        <v>794</v>
      </c>
      <c r="O531" s="10" t="s">
        <v>107</v>
      </c>
    </row>
    <row r="532" customFormat="false" ht="15" hidden="false" customHeight="false" outlineLevel="0" collapsed="false">
      <c r="A532" s="10" t="n">
        <v>531</v>
      </c>
      <c r="B532" s="10" t="s">
        <v>795</v>
      </c>
      <c r="C532" s="10" t="s">
        <v>522</v>
      </c>
      <c r="D532" s="10" t="s">
        <v>523</v>
      </c>
      <c r="E532" s="10" t="s">
        <v>92</v>
      </c>
      <c r="F532" s="10" t="s">
        <v>136</v>
      </c>
      <c r="G532" s="11" t="n">
        <v>24</v>
      </c>
      <c r="H532" s="11"/>
      <c r="I532" s="11"/>
      <c r="J532" s="11"/>
      <c r="K532" s="10" t="str">
        <f aca="false">IF(ISNUMBER(J532),IF(J532&lt;10,"ультра-НЧ",IF(J532&lt;100,"НЧ",IF(J532&lt;=1000,"СЧ","ВЧ"))),IF(ISNUMBER(I532),IF(I532&lt;10,"ультра-НЧ",IF(I532&lt;100,"НЧ",IF(I532&lt;=1000,"СЧ","ВЧ"))),"нет данных"))</f>
        <v>нет данных</v>
      </c>
      <c r="L532" s="12" t="str">
        <f aca="false">IF(AND(ISNUMBER(G532),G532&gt;0,ISNUMBER(I532)),I532/G532,"")</f>
        <v/>
      </c>
      <c r="M532" s="10" t="s">
        <v>105</v>
      </c>
      <c r="N532" s="10" t="s">
        <v>795</v>
      </c>
      <c r="O532" s="10" t="s">
        <v>107</v>
      </c>
    </row>
    <row r="533" customFormat="false" ht="15" hidden="false" customHeight="false" outlineLevel="0" collapsed="false">
      <c r="A533" s="10" t="n">
        <v>532</v>
      </c>
      <c r="B533" s="10" t="s">
        <v>796</v>
      </c>
      <c r="C533" s="10" t="s">
        <v>522</v>
      </c>
      <c r="D533" s="10" t="s">
        <v>523</v>
      </c>
      <c r="E533" s="10" t="s">
        <v>92</v>
      </c>
      <c r="F533" s="10" t="s">
        <v>136</v>
      </c>
      <c r="G533" s="11" t="n">
        <v>24</v>
      </c>
      <c r="H533" s="11"/>
      <c r="I533" s="11"/>
      <c r="J533" s="11"/>
      <c r="K533" s="10" t="str">
        <f aca="false">IF(ISNUMBER(J533),IF(J533&lt;10,"ультра-НЧ",IF(J533&lt;100,"НЧ",IF(J533&lt;=1000,"СЧ","ВЧ"))),IF(ISNUMBER(I533),IF(I533&lt;10,"ультра-НЧ",IF(I533&lt;100,"НЧ",IF(I533&lt;=1000,"СЧ","ВЧ"))),"нет данных"))</f>
        <v>нет данных</v>
      </c>
      <c r="L533" s="12" t="str">
        <f aca="false">IF(AND(ISNUMBER(G533),G533&gt;0,ISNUMBER(I533)),I533/G533,"")</f>
        <v/>
      </c>
      <c r="M533" s="10" t="s">
        <v>105</v>
      </c>
      <c r="N533" s="10" t="s">
        <v>796</v>
      </c>
      <c r="O533" s="10" t="s">
        <v>107</v>
      </c>
    </row>
    <row r="534" customFormat="false" ht="15" hidden="false" customHeight="false" outlineLevel="0" collapsed="false">
      <c r="A534" s="10" t="n">
        <v>533</v>
      </c>
      <c r="B534" s="10" t="s">
        <v>797</v>
      </c>
      <c r="C534" s="10" t="s">
        <v>522</v>
      </c>
      <c r="D534" s="10" t="s">
        <v>523</v>
      </c>
      <c r="E534" s="10" t="s">
        <v>92</v>
      </c>
      <c r="F534" s="10" t="s">
        <v>136</v>
      </c>
      <c r="G534" s="11" t="n">
        <v>23</v>
      </c>
      <c r="H534" s="11"/>
      <c r="I534" s="11"/>
      <c r="J534" s="11"/>
      <c r="K534" s="10" t="str">
        <f aca="false">IF(ISNUMBER(J534),IF(J534&lt;10,"ультра-НЧ",IF(J534&lt;100,"НЧ",IF(J534&lt;=1000,"СЧ","ВЧ"))),IF(ISNUMBER(I534),IF(I534&lt;10,"ультра-НЧ",IF(I534&lt;100,"НЧ",IF(I534&lt;=1000,"СЧ","ВЧ"))),"нет данных"))</f>
        <v>нет данных</v>
      </c>
      <c r="L534" s="12" t="str">
        <f aca="false">IF(AND(ISNUMBER(G534),G534&gt;0,ISNUMBER(I534)),I534/G534,"")</f>
        <v/>
      </c>
      <c r="M534" s="10" t="s">
        <v>105</v>
      </c>
      <c r="N534" s="10" t="s">
        <v>797</v>
      </c>
      <c r="O534" s="10" t="s">
        <v>107</v>
      </c>
    </row>
    <row r="535" customFormat="false" ht="15" hidden="false" customHeight="false" outlineLevel="0" collapsed="false">
      <c r="A535" s="10" t="n">
        <v>534</v>
      </c>
      <c r="B535" s="10" t="s">
        <v>798</v>
      </c>
      <c r="C535" s="10" t="s">
        <v>522</v>
      </c>
      <c r="D535" s="10" t="s">
        <v>523</v>
      </c>
      <c r="E535" s="10" t="s">
        <v>92</v>
      </c>
      <c r="F535" s="10" t="s">
        <v>136</v>
      </c>
      <c r="G535" s="11" t="n">
        <v>23</v>
      </c>
      <c r="H535" s="11"/>
      <c r="I535" s="11"/>
      <c r="J535" s="11"/>
      <c r="K535" s="10" t="str">
        <f aca="false">IF(ISNUMBER(J535),IF(J535&lt;10,"ультра-НЧ",IF(J535&lt;100,"НЧ",IF(J535&lt;=1000,"СЧ","ВЧ"))),IF(ISNUMBER(I535),IF(I535&lt;10,"ультра-НЧ",IF(I535&lt;100,"НЧ",IF(I535&lt;=1000,"СЧ","ВЧ"))),"нет данных"))</f>
        <v>нет данных</v>
      </c>
      <c r="L535" s="12" t="str">
        <f aca="false">IF(AND(ISNUMBER(G535),G535&gt;0,ISNUMBER(I535)),I535/G535,"")</f>
        <v/>
      </c>
      <c r="M535" s="10" t="s">
        <v>105</v>
      </c>
      <c r="N535" s="10" t="s">
        <v>798</v>
      </c>
      <c r="O535" s="10" t="s">
        <v>107</v>
      </c>
    </row>
    <row r="536" customFormat="false" ht="15" hidden="false" customHeight="false" outlineLevel="0" collapsed="false">
      <c r="A536" s="10" t="n">
        <v>535</v>
      </c>
      <c r="B536" s="10" t="s">
        <v>799</v>
      </c>
      <c r="C536" s="10" t="s">
        <v>522</v>
      </c>
      <c r="D536" s="10" t="s">
        <v>523</v>
      </c>
      <c r="E536" s="10" t="s">
        <v>92</v>
      </c>
      <c r="F536" s="10" t="s">
        <v>136</v>
      </c>
      <c r="G536" s="11" t="n">
        <v>23</v>
      </c>
      <c r="H536" s="11"/>
      <c r="I536" s="11"/>
      <c r="J536" s="11"/>
      <c r="K536" s="10" t="str">
        <f aca="false">IF(ISNUMBER(J536),IF(J536&lt;10,"ультра-НЧ",IF(J536&lt;100,"НЧ",IF(J536&lt;=1000,"СЧ","ВЧ"))),IF(ISNUMBER(I536),IF(I536&lt;10,"ультра-НЧ",IF(I536&lt;100,"НЧ",IF(I536&lt;=1000,"СЧ","ВЧ"))),"нет данных"))</f>
        <v>нет данных</v>
      </c>
      <c r="L536" s="12" t="str">
        <f aca="false">IF(AND(ISNUMBER(G536),G536&gt;0,ISNUMBER(I536)),I536/G536,"")</f>
        <v/>
      </c>
      <c r="M536" s="10" t="s">
        <v>105</v>
      </c>
      <c r="N536" s="10" t="s">
        <v>799</v>
      </c>
      <c r="O536" s="10" t="s">
        <v>107</v>
      </c>
    </row>
    <row r="537" customFormat="false" ht="15" hidden="false" customHeight="false" outlineLevel="0" collapsed="false">
      <c r="A537" s="10" t="n">
        <v>536</v>
      </c>
      <c r="B537" s="10" t="s">
        <v>800</v>
      </c>
      <c r="C537" s="10" t="s">
        <v>522</v>
      </c>
      <c r="D537" s="10" t="s">
        <v>523</v>
      </c>
      <c r="E537" s="10" t="s">
        <v>92</v>
      </c>
      <c r="F537" s="10" t="s">
        <v>136</v>
      </c>
      <c r="G537" s="11" t="n">
        <v>23</v>
      </c>
      <c r="H537" s="11"/>
      <c r="I537" s="11"/>
      <c r="J537" s="11"/>
      <c r="K537" s="10" t="str">
        <f aca="false">IF(ISNUMBER(J537),IF(J537&lt;10,"ультра-НЧ",IF(J537&lt;100,"НЧ",IF(J537&lt;=1000,"СЧ","ВЧ"))),IF(ISNUMBER(I537),IF(I537&lt;10,"ультра-НЧ",IF(I537&lt;100,"НЧ",IF(I537&lt;=1000,"СЧ","ВЧ"))),"нет данных"))</f>
        <v>нет данных</v>
      </c>
      <c r="L537" s="12" t="str">
        <f aca="false">IF(AND(ISNUMBER(G537),G537&gt;0,ISNUMBER(I537)),I537/G537,"")</f>
        <v/>
      </c>
      <c r="M537" s="10" t="s">
        <v>105</v>
      </c>
      <c r="N537" s="10" t="s">
        <v>800</v>
      </c>
      <c r="O537" s="10" t="s">
        <v>107</v>
      </c>
    </row>
    <row r="538" customFormat="false" ht="15" hidden="false" customHeight="false" outlineLevel="0" collapsed="false">
      <c r="A538" s="10" t="n">
        <v>537</v>
      </c>
      <c r="B538" s="10" t="s">
        <v>801</v>
      </c>
      <c r="C538" s="10" t="s">
        <v>522</v>
      </c>
      <c r="D538" s="10" t="s">
        <v>523</v>
      </c>
      <c r="E538" s="10" t="s">
        <v>92</v>
      </c>
      <c r="F538" s="10" t="s">
        <v>136</v>
      </c>
      <c r="G538" s="11" t="n">
        <v>23</v>
      </c>
      <c r="H538" s="11"/>
      <c r="I538" s="11"/>
      <c r="J538" s="11"/>
      <c r="K538" s="10" t="str">
        <f aca="false">IF(ISNUMBER(J538),IF(J538&lt;10,"ультра-НЧ",IF(J538&lt;100,"НЧ",IF(J538&lt;=1000,"СЧ","ВЧ"))),IF(ISNUMBER(I538),IF(I538&lt;10,"ультра-НЧ",IF(I538&lt;100,"НЧ",IF(I538&lt;=1000,"СЧ","ВЧ"))),"нет данных"))</f>
        <v>нет данных</v>
      </c>
      <c r="L538" s="12" t="str">
        <f aca="false">IF(AND(ISNUMBER(G538),G538&gt;0,ISNUMBER(I538)),I538/G538,"")</f>
        <v/>
      </c>
      <c r="M538" s="10" t="s">
        <v>105</v>
      </c>
      <c r="N538" s="10" t="s">
        <v>801</v>
      </c>
      <c r="O538" s="10" t="s">
        <v>107</v>
      </c>
    </row>
    <row r="539" customFormat="false" ht="15" hidden="false" customHeight="false" outlineLevel="0" collapsed="false">
      <c r="A539" s="10" t="n">
        <v>538</v>
      </c>
      <c r="B539" s="10" t="s">
        <v>802</v>
      </c>
      <c r="C539" s="10" t="s">
        <v>522</v>
      </c>
      <c r="D539" s="10" t="s">
        <v>523</v>
      </c>
      <c r="E539" s="10" t="s">
        <v>92</v>
      </c>
      <c r="F539" s="10" t="s">
        <v>136</v>
      </c>
      <c r="G539" s="11" t="n">
        <v>23</v>
      </c>
      <c r="H539" s="11"/>
      <c r="I539" s="11"/>
      <c r="J539" s="11"/>
      <c r="K539" s="10" t="str">
        <f aca="false">IF(ISNUMBER(J539),IF(J539&lt;10,"ультра-НЧ",IF(J539&lt;100,"НЧ",IF(J539&lt;=1000,"СЧ","ВЧ"))),IF(ISNUMBER(I539),IF(I539&lt;10,"ультра-НЧ",IF(I539&lt;100,"НЧ",IF(I539&lt;=1000,"СЧ","ВЧ"))),"нет данных"))</f>
        <v>нет данных</v>
      </c>
      <c r="L539" s="12" t="str">
        <f aca="false">IF(AND(ISNUMBER(G539),G539&gt;0,ISNUMBER(I539)),I539/G539,"")</f>
        <v/>
      </c>
      <c r="M539" s="10" t="s">
        <v>105</v>
      </c>
      <c r="N539" s="10" t="s">
        <v>802</v>
      </c>
      <c r="O539" s="10" t="s">
        <v>107</v>
      </c>
    </row>
    <row r="540" customFormat="false" ht="15" hidden="false" customHeight="false" outlineLevel="0" collapsed="false">
      <c r="A540" s="10" t="n">
        <v>539</v>
      </c>
      <c r="B540" s="10" t="s">
        <v>803</v>
      </c>
      <c r="C540" s="10" t="s">
        <v>522</v>
      </c>
      <c r="D540" s="10" t="s">
        <v>523</v>
      </c>
      <c r="E540" s="10" t="s">
        <v>92</v>
      </c>
      <c r="F540" s="10" t="s">
        <v>136</v>
      </c>
      <c r="G540" s="11" t="n">
        <v>23</v>
      </c>
      <c r="H540" s="11"/>
      <c r="I540" s="11"/>
      <c r="J540" s="11"/>
      <c r="K540" s="10" t="str">
        <f aca="false">IF(ISNUMBER(J540),IF(J540&lt;10,"ультра-НЧ",IF(J540&lt;100,"НЧ",IF(J540&lt;=1000,"СЧ","ВЧ"))),IF(ISNUMBER(I540),IF(I540&lt;10,"ультра-НЧ",IF(I540&lt;100,"НЧ",IF(I540&lt;=1000,"СЧ","ВЧ"))),"нет данных"))</f>
        <v>нет данных</v>
      </c>
      <c r="L540" s="12" t="str">
        <f aca="false">IF(AND(ISNUMBER(G540),G540&gt;0,ISNUMBER(I540)),I540/G540,"")</f>
        <v/>
      </c>
      <c r="M540" s="10" t="s">
        <v>105</v>
      </c>
      <c r="N540" s="10" t="s">
        <v>803</v>
      </c>
      <c r="O540" s="10" t="s">
        <v>107</v>
      </c>
    </row>
    <row r="541" customFormat="false" ht="15" hidden="false" customHeight="false" outlineLevel="0" collapsed="false">
      <c r="A541" s="10" t="n">
        <v>540</v>
      </c>
      <c r="B541" s="10" t="s">
        <v>804</v>
      </c>
      <c r="C541" s="10" t="s">
        <v>522</v>
      </c>
      <c r="D541" s="10" t="s">
        <v>523</v>
      </c>
      <c r="E541" s="10" t="s">
        <v>92</v>
      </c>
      <c r="F541" s="10" t="s">
        <v>136</v>
      </c>
      <c r="G541" s="11" t="n">
        <v>23</v>
      </c>
      <c r="H541" s="11"/>
      <c r="I541" s="11"/>
      <c r="J541" s="11"/>
      <c r="K541" s="10" t="str">
        <f aca="false">IF(ISNUMBER(J541),IF(J541&lt;10,"ультра-НЧ",IF(J541&lt;100,"НЧ",IF(J541&lt;=1000,"СЧ","ВЧ"))),IF(ISNUMBER(I541),IF(I541&lt;10,"ультра-НЧ",IF(I541&lt;100,"НЧ",IF(I541&lt;=1000,"СЧ","ВЧ"))),"нет данных"))</f>
        <v>нет данных</v>
      </c>
      <c r="L541" s="12" t="str">
        <f aca="false">IF(AND(ISNUMBER(G541),G541&gt;0,ISNUMBER(I541)),I541/G541,"")</f>
        <v/>
      </c>
      <c r="M541" s="10" t="s">
        <v>105</v>
      </c>
      <c r="N541" s="10" t="s">
        <v>804</v>
      </c>
      <c r="O541" s="10" t="s">
        <v>107</v>
      </c>
    </row>
    <row r="542" customFormat="false" ht="15" hidden="false" customHeight="false" outlineLevel="0" collapsed="false">
      <c r="A542" s="10" t="n">
        <v>541</v>
      </c>
      <c r="B542" s="10" t="s">
        <v>805</v>
      </c>
      <c r="C542" s="10" t="s">
        <v>522</v>
      </c>
      <c r="D542" s="10" t="s">
        <v>523</v>
      </c>
      <c r="E542" s="10" t="s">
        <v>92</v>
      </c>
      <c r="F542" s="10" t="s">
        <v>136</v>
      </c>
      <c r="G542" s="11" t="n">
        <v>23</v>
      </c>
      <c r="H542" s="11"/>
      <c r="I542" s="11"/>
      <c r="J542" s="11"/>
      <c r="K542" s="10" t="str">
        <f aca="false">IF(ISNUMBER(J542),IF(J542&lt;10,"ультра-НЧ",IF(J542&lt;100,"НЧ",IF(J542&lt;=1000,"СЧ","ВЧ"))),IF(ISNUMBER(I542),IF(I542&lt;10,"ультра-НЧ",IF(I542&lt;100,"НЧ",IF(I542&lt;=1000,"СЧ","ВЧ"))),"нет данных"))</f>
        <v>нет данных</v>
      </c>
      <c r="L542" s="12" t="str">
        <f aca="false">IF(AND(ISNUMBER(G542),G542&gt;0,ISNUMBER(I542)),I542/G542,"")</f>
        <v/>
      </c>
      <c r="M542" s="10" t="s">
        <v>105</v>
      </c>
      <c r="N542" s="10" t="s">
        <v>805</v>
      </c>
      <c r="O542" s="10" t="s">
        <v>107</v>
      </c>
    </row>
    <row r="543" customFormat="false" ht="15" hidden="false" customHeight="false" outlineLevel="0" collapsed="false">
      <c r="A543" s="10" t="n">
        <v>542</v>
      </c>
      <c r="B543" s="10" t="s">
        <v>806</v>
      </c>
      <c r="C543" s="10" t="s">
        <v>522</v>
      </c>
      <c r="D543" s="10" t="s">
        <v>523</v>
      </c>
      <c r="E543" s="10" t="s">
        <v>92</v>
      </c>
      <c r="F543" s="10" t="s">
        <v>136</v>
      </c>
      <c r="G543" s="11" t="n">
        <v>22</v>
      </c>
      <c r="H543" s="11"/>
      <c r="I543" s="11"/>
      <c r="J543" s="11"/>
      <c r="K543" s="10" t="str">
        <f aca="false">IF(ISNUMBER(J543),IF(J543&lt;10,"ультра-НЧ",IF(J543&lt;100,"НЧ",IF(J543&lt;=1000,"СЧ","ВЧ"))),IF(ISNUMBER(I543),IF(I543&lt;10,"ультра-НЧ",IF(I543&lt;100,"НЧ",IF(I543&lt;=1000,"СЧ","ВЧ"))),"нет данных"))</f>
        <v>нет данных</v>
      </c>
      <c r="L543" s="12" t="str">
        <f aca="false">IF(AND(ISNUMBER(G543),G543&gt;0,ISNUMBER(I543)),I543/G543,"")</f>
        <v/>
      </c>
      <c r="M543" s="10" t="s">
        <v>105</v>
      </c>
      <c r="N543" s="10" t="s">
        <v>807</v>
      </c>
      <c r="O543" s="10" t="s">
        <v>107</v>
      </c>
    </row>
    <row r="544" customFormat="false" ht="15" hidden="false" customHeight="false" outlineLevel="0" collapsed="false">
      <c r="A544" s="10" t="n">
        <v>543</v>
      </c>
      <c r="B544" s="10" t="s">
        <v>808</v>
      </c>
      <c r="C544" s="10" t="s">
        <v>522</v>
      </c>
      <c r="D544" s="10" t="s">
        <v>523</v>
      </c>
      <c r="E544" s="10" t="s">
        <v>92</v>
      </c>
      <c r="F544" s="10" t="s">
        <v>136</v>
      </c>
      <c r="G544" s="11" t="n">
        <v>22</v>
      </c>
      <c r="H544" s="11"/>
      <c r="I544" s="11"/>
      <c r="J544" s="11"/>
      <c r="K544" s="10" t="str">
        <f aca="false">IF(ISNUMBER(J544),IF(J544&lt;10,"ультра-НЧ",IF(J544&lt;100,"НЧ",IF(J544&lt;=1000,"СЧ","ВЧ"))),IF(ISNUMBER(I544),IF(I544&lt;10,"ультра-НЧ",IF(I544&lt;100,"НЧ",IF(I544&lt;=1000,"СЧ","ВЧ"))),"нет данных"))</f>
        <v>нет данных</v>
      </c>
      <c r="L544" s="12" t="str">
        <f aca="false">IF(AND(ISNUMBER(G544),G544&gt;0,ISNUMBER(I544)),I544/G544,"")</f>
        <v/>
      </c>
      <c r="M544" s="10" t="s">
        <v>105</v>
      </c>
      <c r="N544" s="10" t="s">
        <v>808</v>
      </c>
      <c r="O544" s="10" t="s">
        <v>107</v>
      </c>
    </row>
    <row r="545" customFormat="false" ht="15" hidden="false" customHeight="false" outlineLevel="0" collapsed="false">
      <c r="A545" s="10" t="n">
        <v>544</v>
      </c>
      <c r="B545" s="10" t="s">
        <v>809</v>
      </c>
      <c r="C545" s="10" t="s">
        <v>522</v>
      </c>
      <c r="D545" s="10" t="s">
        <v>523</v>
      </c>
      <c r="E545" s="10" t="s">
        <v>92</v>
      </c>
      <c r="F545" s="10" t="s">
        <v>136</v>
      </c>
      <c r="G545" s="11" t="n">
        <v>21</v>
      </c>
      <c r="H545" s="11"/>
      <c r="I545" s="11"/>
      <c r="J545" s="11"/>
      <c r="K545" s="10" t="str">
        <f aca="false">IF(ISNUMBER(J545),IF(J545&lt;10,"ультра-НЧ",IF(J545&lt;100,"НЧ",IF(J545&lt;=1000,"СЧ","ВЧ"))),IF(ISNUMBER(I545),IF(I545&lt;10,"ультра-НЧ",IF(I545&lt;100,"НЧ",IF(I545&lt;=1000,"СЧ","ВЧ"))),"нет данных"))</f>
        <v>нет данных</v>
      </c>
      <c r="L545" s="12" t="str">
        <f aca="false">IF(AND(ISNUMBER(G545),G545&gt;0,ISNUMBER(I545)),I545/G545,"")</f>
        <v/>
      </c>
      <c r="M545" s="10" t="s">
        <v>105</v>
      </c>
      <c r="N545" s="10" t="s">
        <v>809</v>
      </c>
      <c r="O545" s="10" t="s">
        <v>107</v>
      </c>
    </row>
    <row r="546" customFormat="false" ht="15" hidden="false" customHeight="false" outlineLevel="0" collapsed="false">
      <c r="A546" s="10" t="n">
        <v>545</v>
      </c>
      <c r="B546" s="10" t="s">
        <v>810</v>
      </c>
      <c r="C546" s="10" t="s">
        <v>522</v>
      </c>
      <c r="D546" s="10" t="s">
        <v>523</v>
      </c>
      <c r="E546" s="10" t="s">
        <v>92</v>
      </c>
      <c r="F546" s="10" t="s">
        <v>136</v>
      </c>
      <c r="G546" s="11" t="n">
        <v>21</v>
      </c>
      <c r="H546" s="11"/>
      <c r="I546" s="11"/>
      <c r="J546" s="11"/>
      <c r="K546" s="10" t="str">
        <f aca="false">IF(ISNUMBER(J546),IF(J546&lt;10,"ультра-НЧ",IF(J546&lt;100,"НЧ",IF(J546&lt;=1000,"СЧ","ВЧ"))),IF(ISNUMBER(I546),IF(I546&lt;10,"ультра-НЧ",IF(I546&lt;100,"НЧ",IF(I546&lt;=1000,"СЧ","ВЧ"))),"нет данных"))</f>
        <v>нет данных</v>
      </c>
      <c r="L546" s="12" t="str">
        <f aca="false">IF(AND(ISNUMBER(G546),G546&gt;0,ISNUMBER(I546)),I546/G546,"")</f>
        <v/>
      </c>
      <c r="M546" s="10" t="s">
        <v>105</v>
      </c>
      <c r="N546" s="10" t="s">
        <v>810</v>
      </c>
      <c r="O546" s="10" t="s">
        <v>107</v>
      </c>
    </row>
    <row r="547" customFormat="false" ht="15" hidden="false" customHeight="false" outlineLevel="0" collapsed="false">
      <c r="A547" s="10" t="n">
        <v>546</v>
      </c>
      <c r="B547" s="10" t="s">
        <v>811</v>
      </c>
      <c r="C547" s="10" t="s">
        <v>522</v>
      </c>
      <c r="D547" s="10" t="s">
        <v>523</v>
      </c>
      <c r="E547" s="10" t="s">
        <v>92</v>
      </c>
      <c r="F547" s="10" t="s">
        <v>136</v>
      </c>
      <c r="G547" s="11" t="n">
        <v>21</v>
      </c>
      <c r="H547" s="11"/>
      <c r="I547" s="11"/>
      <c r="J547" s="11"/>
      <c r="K547" s="10" t="str">
        <f aca="false">IF(ISNUMBER(J547),IF(J547&lt;10,"ультра-НЧ",IF(J547&lt;100,"НЧ",IF(J547&lt;=1000,"СЧ","ВЧ"))),IF(ISNUMBER(I547),IF(I547&lt;10,"ультра-НЧ",IF(I547&lt;100,"НЧ",IF(I547&lt;=1000,"СЧ","ВЧ"))),"нет данных"))</f>
        <v>нет данных</v>
      </c>
      <c r="L547" s="12" t="str">
        <f aca="false">IF(AND(ISNUMBER(G547),G547&gt;0,ISNUMBER(I547)),I547/G547,"")</f>
        <v/>
      </c>
      <c r="M547" s="10" t="s">
        <v>105</v>
      </c>
      <c r="N547" s="10" t="s">
        <v>811</v>
      </c>
      <c r="O547" s="10" t="s">
        <v>107</v>
      </c>
    </row>
    <row r="548" customFormat="false" ht="15" hidden="false" customHeight="false" outlineLevel="0" collapsed="false">
      <c r="A548" s="10" t="n">
        <v>547</v>
      </c>
      <c r="B548" s="10" t="s">
        <v>812</v>
      </c>
      <c r="C548" s="10" t="s">
        <v>522</v>
      </c>
      <c r="D548" s="10" t="s">
        <v>523</v>
      </c>
      <c r="E548" s="10" t="s">
        <v>92</v>
      </c>
      <c r="F548" s="10" t="s">
        <v>136</v>
      </c>
      <c r="G548" s="11" t="n">
        <v>21</v>
      </c>
      <c r="H548" s="11"/>
      <c r="I548" s="11"/>
      <c r="J548" s="11"/>
      <c r="K548" s="10" t="str">
        <f aca="false">IF(ISNUMBER(J548),IF(J548&lt;10,"ультра-НЧ",IF(J548&lt;100,"НЧ",IF(J548&lt;=1000,"СЧ","ВЧ"))),IF(ISNUMBER(I548),IF(I548&lt;10,"ультра-НЧ",IF(I548&lt;100,"НЧ",IF(I548&lt;=1000,"СЧ","ВЧ"))),"нет данных"))</f>
        <v>нет данных</v>
      </c>
      <c r="L548" s="12" t="str">
        <f aca="false">IF(AND(ISNUMBER(G548),G548&gt;0,ISNUMBER(I548)),I548/G548,"")</f>
        <v/>
      </c>
      <c r="M548" s="10" t="s">
        <v>105</v>
      </c>
      <c r="N548" s="10" t="s">
        <v>812</v>
      </c>
      <c r="O548" s="10" t="s">
        <v>107</v>
      </c>
    </row>
    <row r="549" customFormat="false" ht="15" hidden="false" customHeight="false" outlineLevel="0" collapsed="false">
      <c r="A549" s="10" t="n">
        <v>548</v>
      </c>
      <c r="B549" s="10" t="s">
        <v>813</v>
      </c>
      <c r="C549" s="10" t="s">
        <v>522</v>
      </c>
      <c r="D549" s="10" t="s">
        <v>523</v>
      </c>
      <c r="E549" s="10" t="s">
        <v>92</v>
      </c>
      <c r="F549" s="10" t="s">
        <v>136</v>
      </c>
      <c r="G549" s="11" t="n">
        <v>21</v>
      </c>
      <c r="H549" s="11"/>
      <c r="I549" s="11"/>
      <c r="J549" s="11"/>
      <c r="K549" s="10" t="str">
        <f aca="false">IF(ISNUMBER(J549),IF(J549&lt;10,"ультра-НЧ",IF(J549&lt;100,"НЧ",IF(J549&lt;=1000,"СЧ","ВЧ"))),IF(ISNUMBER(I549),IF(I549&lt;10,"ультра-НЧ",IF(I549&lt;100,"НЧ",IF(I549&lt;=1000,"СЧ","ВЧ"))),"нет данных"))</f>
        <v>нет данных</v>
      </c>
      <c r="L549" s="12" t="str">
        <f aca="false">IF(AND(ISNUMBER(G549),G549&gt;0,ISNUMBER(I549)),I549/G549,"")</f>
        <v/>
      </c>
      <c r="M549" s="10" t="s">
        <v>105</v>
      </c>
      <c r="N549" s="10" t="s">
        <v>813</v>
      </c>
      <c r="O549" s="10" t="s">
        <v>107</v>
      </c>
    </row>
    <row r="550" customFormat="false" ht="15" hidden="false" customHeight="false" outlineLevel="0" collapsed="false">
      <c r="A550" s="10" t="n">
        <v>549</v>
      </c>
      <c r="B550" s="10" t="s">
        <v>814</v>
      </c>
      <c r="C550" s="10" t="s">
        <v>522</v>
      </c>
      <c r="D550" s="10" t="s">
        <v>523</v>
      </c>
      <c r="E550" s="10" t="s">
        <v>92</v>
      </c>
      <c r="F550" s="10" t="s">
        <v>136</v>
      </c>
      <c r="G550" s="11" t="n">
        <v>20</v>
      </c>
      <c r="H550" s="11"/>
      <c r="I550" s="11"/>
      <c r="J550" s="11"/>
      <c r="K550" s="10" t="str">
        <f aca="false">IF(ISNUMBER(J550),IF(J550&lt;10,"ультра-НЧ",IF(J550&lt;100,"НЧ",IF(J550&lt;=1000,"СЧ","ВЧ"))),IF(ISNUMBER(I550),IF(I550&lt;10,"ультра-НЧ",IF(I550&lt;100,"НЧ",IF(I550&lt;=1000,"СЧ","ВЧ"))),"нет данных"))</f>
        <v>нет данных</v>
      </c>
      <c r="L550" s="12" t="str">
        <f aca="false">IF(AND(ISNUMBER(G550),G550&gt;0,ISNUMBER(I550)),I550/G550,"")</f>
        <v/>
      </c>
      <c r="M550" s="10" t="s">
        <v>105</v>
      </c>
      <c r="N550" s="10" t="s">
        <v>814</v>
      </c>
      <c r="O550" s="10" t="s">
        <v>107</v>
      </c>
    </row>
    <row r="551" customFormat="false" ht="15" hidden="false" customHeight="false" outlineLevel="0" collapsed="false">
      <c r="A551" s="10" t="n">
        <v>550</v>
      </c>
      <c r="B551" s="10" t="s">
        <v>815</v>
      </c>
      <c r="C551" s="10" t="s">
        <v>522</v>
      </c>
      <c r="D551" s="10" t="s">
        <v>523</v>
      </c>
      <c r="E551" s="10" t="s">
        <v>92</v>
      </c>
      <c r="F551" s="10" t="s">
        <v>136</v>
      </c>
      <c r="G551" s="11" t="n">
        <v>20</v>
      </c>
      <c r="H551" s="11"/>
      <c r="I551" s="11"/>
      <c r="J551" s="11"/>
      <c r="K551" s="10" t="str">
        <f aca="false">IF(ISNUMBER(J551),IF(J551&lt;10,"ультра-НЧ",IF(J551&lt;100,"НЧ",IF(J551&lt;=1000,"СЧ","ВЧ"))),IF(ISNUMBER(I551),IF(I551&lt;10,"ультра-НЧ",IF(I551&lt;100,"НЧ",IF(I551&lt;=1000,"СЧ","ВЧ"))),"нет данных"))</f>
        <v>нет данных</v>
      </c>
      <c r="L551" s="12" t="str">
        <f aca="false">IF(AND(ISNUMBER(G551),G551&gt;0,ISNUMBER(I551)),I551/G551,"")</f>
        <v/>
      </c>
      <c r="M551" s="10" t="s">
        <v>105</v>
      </c>
      <c r="N551" s="10" t="s">
        <v>815</v>
      </c>
      <c r="O551" s="10" t="s">
        <v>107</v>
      </c>
    </row>
    <row r="552" customFormat="false" ht="15" hidden="false" customHeight="false" outlineLevel="0" collapsed="false">
      <c r="A552" s="10" t="n">
        <v>551</v>
      </c>
      <c r="B552" s="10" t="s">
        <v>816</v>
      </c>
      <c r="C552" s="10" t="s">
        <v>522</v>
      </c>
      <c r="D552" s="10" t="s">
        <v>523</v>
      </c>
      <c r="E552" s="10" t="s">
        <v>92</v>
      </c>
      <c r="F552" s="10" t="s">
        <v>136</v>
      </c>
      <c r="G552" s="11" t="n">
        <v>20</v>
      </c>
      <c r="H552" s="11"/>
      <c r="I552" s="11"/>
      <c r="J552" s="11"/>
      <c r="K552" s="10" t="str">
        <f aca="false">IF(ISNUMBER(J552),IF(J552&lt;10,"ультра-НЧ",IF(J552&lt;100,"НЧ",IF(J552&lt;=1000,"СЧ","ВЧ"))),IF(ISNUMBER(I552),IF(I552&lt;10,"ультра-НЧ",IF(I552&lt;100,"НЧ",IF(I552&lt;=1000,"СЧ","ВЧ"))),"нет данных"))</f>
        <v>нет данных</v>
      </c>
      <c r="L552" s="12" t="str">
        <f aca="false">IF(AND(ISNUMBER(G552),G552&gt;0,ISNUMBER(I552)),I552/G552,"")</f>
        <v/>
      </c>
      <c r="M552" s="10" t="s">
        <v>105</v>
      </c>
      <c r="N552" s="10" t="s">
        <v>816</v>
      </c>
      <c r="O552" s="10" t="s">
        <v>107</v>
      </c>
    </row>
    <row r="553" customFormat="false" ht="15" hidden="false" customHeight="false" outlineLevel="0" collapsed="false">
      <c r="A553" s="10" t="n">
        <v>552</v>
      </c>
      <c r="B553" s="10" t="s">
        <v>817</v>
      </c>
      <c r="C553" s="10" t="s">
        <v>522</v>
      </c>
      <c r="D553" s="10" t="s">
        <v>523</v>
      </c>
      <c r="E553" s="10" t="s">
        <v>92</v>
      </c>
      <c r="F553" s="10" t="s">
        <v>136</v>
      </c>
      <c r="G553" s="11" t="n">
        <v>20</v>
      </c>
      <c r="H553" s="11"/>
      <c r="I553" s="11"/>
      <c r="J553" s="11"/>
      <c r="K553" s="10" t="str">
        <f aca="false">IF(ISNUMBER(J553),IF(J553&lt;10,"ультра-НЧ",IF(J553&lt;100,"НЧ",IF(J553&lt;=1000,"СЧ","ВЧ"))),IF(ISNUMBER(I553),IF(I553&lt;10,"ультра-НЧ",IF(I553&lt;100,"НЧ",IF(I553&lt;=1000,"СЧ","ВЧ"))),"нет данных"))</f>
        <v>нет данных</v>
      </c>
      <c r="L553" s="12" t="str">
        <f aca="false">IF(AND(ISNUMBER(G553),G553&gt;0,ISNUMBER(I553)),I553/G553,"")</f>
        <v/>
      </c>
      <c r="M553" s="10" t="s">
        <v>105</v>
      </c>
      <c r="N553" s="10" t="s">
        <v>817</v>
      </c>
      <c r="O553" s="10" t="s">
        <v>107</v>
      </c>
    </row>
    <row r="554" customFormat="false" ht="15" hidden="false" customHeight="false" outlineLevel="0" collapsed="false">
      <c r="A554" s="10" t="n">
        <v>553</v>
      </c>
      <c r="B554" s="10" t="s">
        <v>818</v>
      </c>
      <c r="C554" s="10" t="s">
        <v>522</v>
      </c>
      <c r="D554" s="10" t="s">
        <v>523</v>
      </c>
      <c r="E554" s="10" t="s">
        <v>92</v>
      </c>
      <c r="F554" s="10" t="s">
        <v>136</v>
      </c>
      <c r="G554" s="11" t="n">
        <v>20</v>
      </c>
      <c r="H554" s="11"/>
      <c r="I554" s="11"/>
      <c r="J554" s="11"/>
      <c r="K554" s="10" t="str">
        <f aca="false">IF(ISNUMBER(J554),IF(J554&lt;10,"ультра-НЧ",IF(J554&lt;100,"НЧ",IF(J554&lt;=1000,"СЧ","ВЧ"))),IF(ISNUMBER(I554),IF(I554&lt;10,"ультра-НЧ",IF(I554&lt;100,"НЧ",IF(I554&lt;=1000,"СЧ","ВЧ"))),"нет данных"))</f>
        <v>нет данных</v>
      </c>
      <c r="L554" s="12" t="str">
        <f aca="false">IF(AND(ISNUMBER(G554),G554&gt;0,ISNUMBER(I554)),I554/G554,"")</f>
        <v/>
      </c>
      <c r="M554" s="10" t="s">
        <v>105</v>
      </c>
      <c r="N554" s="10" t="s">
        <v>818</v>
      </c>
      <c r="O554" s="10" t="s">
        <v>107</v>
      </c>
    </row>
    <row r="555" customFormat="false" ht="15" hidden="false" customHeight="false" outlineLevel="0" collapsed="false">
      <c r="A555" s="10" t="n">
        <v>554</v>
      </c>
      <c r="B555" s="10" t="s">
        <v>819</v>
      </c>
      <c r="C555" s="10" t="s">
        <v>522</v>
      </c>
      <c r="D555" s="10" t="s">
        <v>523</v>
      </c>
      <c r="E555" s="10" t="s">
        <v>92</v>
      </c>
      <c r="F555" s="10" t="s">
        <v>136</v>
      </c>
      <c r="G555" s="11" t="n">
        <v>20</v>
      </c>
      <c r="H555" s="11"/>
      <c r="I555" s="11"/>
      <c r="J555" s="11"/>
      <c r="K555" s="10" t="str">
        <f aca="false">IF(ISNUMBER(J555),IF(J555&lt;10,"ультра-НЧ",IF(J555&lt;100,"НЧ",IF(J555&lt;=1000,"СЧ","ВЧ"))),IF(ISNUMBER(I555),IF(I555&lt;10,"ультра-НЧ",IF(I555&lt;100,"НЧ",IF(I555&lt;=1000,"СЧ","ВЧ"))),"нет данных"))</f>
        <v>нет данных</v>
      </c>
      <c r="L555" s="12" t="str">
        <f aca="false">IF(AND(ISNUMBER(G555),G555&gt;0,ISNUMBER(I555)),I555/G555,"")</f>
        <v/>
      </c>
      <c r="M555" s="10" t="s">
        <v>105</v>
      </c>
      <c r="N555" s="10" t="s">
        <v>819</v>
      </c>
      <c r="O555" s="10" t="s">
        <v>107</v>
      </c>
    </row>
    <row r="556" customFormat="false" ht="15" hidden="false" customHeight="false" outlineLevel="0" collapsed="false">
      <c r="A556" s="10" t="n">
        <v>555</v>
      </c>
      <c r="B556" s="10" t="s">
        <v>820</v>
      </c>
      <c r="C556" s="10" t="s">
        <v>522</v>
      </c>
      <c r="D556" s="10" t="s">
        <v>523</v>
      </c>
      <c r="E556" s="10" t="s">
        <v>92</v>
      </c>
      <c r="F556" s="10" t="s">
        <v>123</v>
      </c>
      <c r="G556" s="11" t="n">
        <v>1748</v>
      </c>
      <c r="H556" s="11"/>
      <c r="I556" s="11"/>
      <c r="J556" s="11" t="n">
        <v>1</v>
      </c>
      <c r="K556" s="10" t="str">
        <f aca="false">IF(ISNUMBER(J556),IF(J556&lt;10,"ультра-НЧ",IF(J556&lt;100,"НЧ",IF(J556&lt;=1000,"СЧ","ВЧ"))),IF(ISNUMBER(I556),IF(I556&lt;10,"ультра-НЧ",IF(I556&lt;100,"НЧ",IF(I556&lt;=1000,"СЧ","ВЧ"))),"нет данных"))</f>
        <v>ультра-НЧ</v>
      </c>
      <c r="L556" s="12" t="str">
        <f aca="false">IF(AND(ISNUMBER(G556),G556&gt;0,ISNUMBER(I556)),I556/G556,"")</f>
        <v/>
      </c>
      <c r="M556" s="10" t="s">
        <v>105</v>
      </c>
      <c r="N556" s="10" t="s">
        <v>820</v>
      </c>
      <c r="O556" s="10" t="s">
        <v>107</v>
      </c>
    </row>
    <row r="557" customFormat="false" ht="15" hidden="false" customHeight="false" outlineLevel="0" collapsed="false">
      <c r="A557" s="10" t="n">
        <v>556</v>
      </c>
      <c r="B557" s="10" t="s">
        <v>821</v>
      </c>
      <c r="C557" s="10" t="s">
        <v>822</v>
      </c>
      <c r="D557" s="10" t="s">
        <v>823</v>
      </c>
      <c r="E557" s="10" t="s">
        <v>824</v>
      </c>
      <c r="F557" s="10" t="s">
        <v>93</v>
      </c>
      <c r="G557" s="11" t="n">
        <v>9101</v>
      </c>
      <c r="H557" s="11" t="n">
        <v>1132</v>
      </c>
      <c r="I557" s="11" t="n">
        <v>145</v>
      </c>
      <c r="J557" s="11" t="n">
        <v>13</v>
      </c>
      <c r="K557" s="10" t="str">
        <f aca="false">IF(ISNUMBER(J557),IF(J557&lt;10,"ультра-НЧ",IF(J557&lt;100,"НЧ",IF(J557&lt;=1000,"СЧ","ВЧ"))),IF(ISNUMBER(I557),IF(I557&lt;10,"ультра-НЧ",IF(I557&lt;100,"НЧ",IF(I557&lt;=1000,"СЧ","ВЧ"))),"нет данных"))</f>
        <v>НЧ</v>
      </c>
      <c r="L557" s="12" t="n">
        <f aca="false">IF(AND(ISNUMBER(G557),G557&gt;0,ISNUMBER(I557)),I557/G557,"")</f>
        <v>0.0159323151302055</v>
      </c>
      <c r="M557" s="10" t="s">
        <v>103</v>
      </c>
      <c r="N557" s="10" t="s">
        <v>821</v>
      </c>
      <c r="O557" s="10"/>
    </row>
    <row r="558" customFormat="false" ht="15" hidden="false" customHeight="false" outlineLevel="0" collapsed="false">
      <c r="A558" s="10" t="n">
        <v>557</v>
      </c>
      <c r="B558" s="10" t="s">
        <v>825</v>
      </c>
      <c r="C558" s="10" t="s">
        <v>822</v>
      </c>
      <c r="D558" s="10" t="s">
        <v>823</v>
      </c>
      <c r="E558" s="10" t="s">
        <v>824</v>
      </c>
      <c r="F558" s="10" t="s">
        <v>93</v>
      </c>
      <c r="G558" s="11" t="n">
        <v>21</v>
      </c>
      <c r="H558" s="11" t="n">
        <v>12</v>
      </c>
      <c r="I558" s="11" t="n">
        <v>21</v>
      </c>
      <c r="J558" s="11" t="n">
        <v>12</v>
      </c>
      <c r="K558" s="10" t="str">
        <f aca="false">IF(ISNUMBER(J558),IF(J558&lt;10,"ультра-НЧ",IF(J558&lt;100,"НЧ",IF(J558&lt;=1000,"СЧ","ВЧ"))),IF(ISNUMBER(I558),IF(I558&lt;10,"ультра-НЧ",IF(I558&lt;100,"НЧ",IF(I558&lt;=1000,"СЧ","ВЧ"))),"нет данных"))</f>
        <v>НЧ</v>
      </c>
      <c r="L558" s="12" t="n">
        <f aca="false">IF(AND(ISNUMBER(G558),G558&gt;0,ISNUMBER(I558)),I558/G558,"")</f>
        <v>1</v>
      </c>
      <c r="M558" s="10" t="s">
        <v>103</v>
      </c>
      <c r="N558" s="10" t="s">
        <v>825</v>
      </c>
      <c r="O558" s="10"/>
    </row>
    <row r="559" customFormat="false" ht="15" hidden="false" customHeight="false" outlineLevel="0" collapsed="false">
      <c r="A559" s="10" t="n">
        <v>558</v>
      </c>
      <c r="B559" s="10" t="s">
        <v>826</v>
      </c>
      <c r="C559" s="10" t="s">
        <v>822</v>
      </c>
      <c r="D559" s="10" t="s">
        <v>823</v>
      </c>
      <c r="E559" s="10" t="s">
        <v>824</v>
      </c>
      <c r="F559" s="10" t="s">
        <v>93</v>
      </c>
      <c r="G559" s="11" t="n">
        <v>120</v>
      </c>
      <c r="H559" s="11" t="n">
        <v>30</v>
      </c>
      <c r="I559" s="11" t="n">
        <v>5</v>
      </c>
      <c r="J559" s="11" t="n">
        <v>0</v>
      </c>
      <c r="K559" s="10" t="str">
        <f aca="false">IF(ISNUMBER(J559),IF(J559&lt;10,"ультра-НЧ",IF(J559&lt;100,"НЧ",IF(J559&lt;=1000,"СЧ","ВЧ"))),IF(ISNUMBER(I559),IF(I559&lt;10,"ультра-НЧ",IF(I559&lt;100,"НЧ",IF(I559&lt;=1000,"СЧ","ВЧ"))),"нет данных"))</f>
        <v>ультра-НЧ</v>
      </c>
      <c r="L559" s="12" t="n">
        <f aca="false">IF(AND(ISNUMBER(G559),G559&gt;0,ISNUMBER(I559)),I559/G559,"")</f>
        <v>0.0416666666666667</v>
      </c>
      <c r="M559" s="10" t="s">
        <v>94</v>
      </c>
      <c r="N559" s="10" t="s">
        <v>827</v>
      </c>
      <c r="O559" s="10"/>
    </row>
    <row r="560" customFormat="false" ht="15" hidden="false" customHeight="false" outlineLevel="0" collapsed="false">
      <c r="A560" s="10" t="n">
        <v>559</v>
      </c>
      <c r="B560" s="10" t="s">
        <v>828</v>
      </c>
      <c r="C560" s="10" t="s">
        <v>822</v>
      </c>
      <c r="D560" s="10" t="s">
        <v>823</v>
      </c>
      <c r="E560" s="10" t="s">
        <v>824</v>
      </c>
      <c r="F560" s="10" t="s">
        <v>93</v>
      </c>
      <c r="G560" s="11" t="n">
        <v>760</v>
      </c>
      <c r="H560" s="11" t="n">
        <v>194</v>
      </c>
      <c r="I560" s="11" t="n">
        <v>15</v>
      </c>
      <c r="J560" s="11" t="n">
        <v>2</v>
      </c>
      <c r="K560" s="10" t="str">
        <f aca="false">IF(ISNUMBER(J560),IF(J560&lt;10,"ультра-НЧ",IF(J560&lt;100,"НЧ",IF(J560&lt;=1000,"СЧ","ВЧ"))),IF(ISNUMBER(I560),IF(I560&lt;10,"ультра-НЧ",IF(I560&lt;100,"НЧ",IF(I560&lt;=1000,"СЧ","ВЧ"))),"нет данных"))</f>
        <v>ультра-НЧ</v>
      </c>
      <c r="L560" s="12" t="n">
        <f aca="false">IF(AND(ISNUMBER(G560),G560&gt;0,ISNUMBER(I560)),I560/G560,"")</f>
        <v>0.0197368421052632</v>
      </c>
      <c r="M560" s="10" t="s">
        <v>112</v>
      </c>
      <c r="N560" s="10" t="s">
        <v>829</v>
      </c>
      <c r="O560" s="10"/>
    </row>
    <row r="561" customFormat="false" ht="15" hidden="false" customHeight="false" outlineLevel="0" collapsed="false">
      <c r="A561" s="10" t="n">
        <v>560</v>
      </c>
      <c r="B561" s="10" t="s">
        <v>830</v>
      </c>
      <c r="C561" s="10" t="s">
        <v>822</v>
      </c>
      <c r="D561" s="10" t="s">
        <v>823</v>
      </c>
      <c r="E561" s="10" t="s">
        <v>824</v>
      </c>
      <c r="F561" s="10" t="s">
        <v>93</v>
      </c>
      <c r="G561" s="11" t="n">
        <v>17</v>
      </c>
      <c r="H561" s="11" t="n">
        <v>7</v>
      </c>
      <c r="I561" s="11" t="n">
        <v>1</v>
      </c>
      <c r="J561" s="11" t="n">
        <v>1</v>
      </c>
      <c r="K561" s="10" t="str">
        <f aca="false">IF(ISNUMBER(J561),IF(J561&lt;10,"ультра-НЧ",IF(J561&lt;100,"НЧ",IF(J561&lt;=1000,"СЧ","ВЧ"))),IF(ISNUMBER(I561),IF(I561&lt;10,"ультра-НЧ",IF(I561&lt;100,"НЧ",IF(I561&lt;=1000,"СЧ","ВЧ"))),"нет данных"))</f>
        <v>ультра-НЧ</v>
      </c>
      <c r="L561" s="12" t="n">
        <f aca="false">IF(AND(ISNUMBER(G561),G561&gt;0,ISNUMBER(I561)),I561/G561,"")</f>
        <v>0.0588235294117647</v>
      </c>
      <c r="M561" s="10" t="s">
        <v>112</v>
      </c>
      <c r="N561" s="10" t="s">
        <v>830</v>
      </c>
      <c r="O561" s="10"/>
    </row>
    <row r="562" customFormat="false" ht="15" hidden="false" customHeight="false" outlineLevel="0" collapsed="false">
      <c r="A562" s="10" t="n">
        <v>561</v>
      </c>
      <c r="B562" s="10" t="s">
        <v>831</v>
      </c>
      <c r="C562" s="10" t="s">
        <v>822</v>
      </c>
      <c r="D562" s="10" t="s">
        <v>823</v>
      </c>
      <c r="E562" s="10" t="s">
        <v>824</v>
      </c>
      <c r="F562" s="10" t="s">
        <v>93</v>
      </c>
      <c r="G562" s="11" t="n">
        <v>752</v>
      </c>
      <c r="H562" s="11" t="n">
        <v>125</v>
      </c>
      <c r="I562" s="11" t="n">
        <v>13</v>
      </c>
      <c r="J562" s="11" t="n">
        <v>1</v>
      </c>
      <c r="K562" s="10" t="str">
        <f aca="false">IF(ISNUMBER(J562),IF(J562&lt;10,"ультра-НЧ",IF(J562&lt;100,"НЧ",IF(J562&lt;=1000,"СЧ","ВЧ"))),IF(ISNUMBER(I562),IF(I562&lt;10,"ультра-НЧ",IF(I562&lt;100,"НЧ",IF(I562&lt;=1000,"СЧ","ВЧ"))),"нет данных"))</f>
        <v>ультра-НЧ</v>
      </c>
      <c r="L562" s="12" t="n">
        <f aca="false">IF(AND(ISNUMBER(G562),G562&gt;0,ISNUMBER(I562)),I562/G562,"")</f>
        <v>0.0172872340425532</v>
      </c>
      <c r="M562" s="10" t="s">
        <v>112</v>
      </c>
      <c r="N562" s="10" t="s">
        <v>832</v>
      </c>
      <c r="O562" s="10"/>
    </row>
    <row r="563" customFormat="false" ht="15" hidden="false" customHeight="false" outlineLevel="0" collapsed="false">
      <c r="A563" s="10" t="n">
        <v>562</v>
      </c>
      <c r="B563" s="10" t="s">
        <v>833</v>
      </c>
      <c r="C563" s="10" t="s">
        <v>822</v>
      </c>
      <c r="D563" s="10" t="s">
        <v>823</v>
      </c>
      <c r="E563" s="10" t="s">
        <v>824</v>
      </c>
      <c r="F563" s="10" t="s">
        <v>93</v>
      </c>
      <c r="G563" s="11"/>
      <c r="H563" s="11" t="n">
        <v>0</v>
      </c>
      <c r="I563" s="11" t="n">
        <v>0</v>
      </c>
      <c r="J563" s="11" t="n">
        <v>0</v>
      </c>
      <c r="K563" s="10" t="str">
        <f aca="false">IF(ISNUMBER(J563),IF(J563&lt;10,"ультра-НЧ",IF(J563&lt;100,"НЧ",IF(J563&lt;=1000,"СЧ","ВЧ"))),IF(ISNUMBER(I563),IF(I563&lt;10,"ультра-НЧ",IF(I563&lt;100,"НЧ",IF(I563&lt;=1000,"СЧ","ВЧ"))),"нет данных"))</f>
        <v>ультра-НЧ</v>
      </c>
      <c r="L563" s="12" t="str">
        <f aca="false">IF(AND(ISNUMBER(G563),G563&gt;0,ISNUMBER(I563)),I563/G563,"")</f>
        <v/>
      </c>
      <c r="M563" s="10" t="s">
        <v>94</v>
      </c>
      <c r="N563" s="10" t="s">
        <v>834</v>
      </c>
      <c r="O563" s="10"/>
    </row>
    <row r="564" customFormat="false" ht="15" hidden="false" customHeight="false" outlineLevel="0" collapsed="false">
      <c r="A564" s="10" t="n">
        <v>563</v>
      </c>
      <c r="B564" s="10" t="s">
        <v>835</v>
      </c>
      <c r="C564" s="10" t="s">
        <v>822</v>
      </c>
      <c r="D564" s="10" t="s">
        <v>823</v>
      </c>
      <c r="E564" s="10" t="s">
        <v>824</v>
      </c>
      <c r="F564" s="10" t="s">
        <v>136</v>
      </c>
      <c r="G564" s="11" t="n">
        <v>158</v>
      </c>
      <c r="H564" s="11"/>
      <c r="I564" s="11"/>
      <c r="J564" s="11"/>
      <c r="K564" s="10" t="str">
        <f aca="false">IF(ISNUMBER(J564),IF(J564&lt;10,"ультра-НЧ",IF(J564&lt;100,"НЧ",IF(J564&lt;=1000,"СЧ","ВЧ"))),IF(ISNUMBER(I564),IF(I564&lt;10,"ультра-НЧ",IF(I564&lt;100,"НЧ",IF(I564&lt;=1000,"СЧ","ВЧ"))),"нет данных"))</f>
        <v>нет данных</v>
      </c>
      <c r="L564" s="12" t="str">
        <f aca="false">IF(AND(ISNUMBER(G564),G564&gt;0,ISNUMBER(I564)),I564/G564,"")</f>
        <v/>
      </c>
      <c r="M564" s="10" t="s">
        <v>112</v>
      </c>
      <c r="N564" s="10" t="s">
        <v>835</v>
      </c>
      <c r="O564" s="10"/>
    </row>
    <row r="565" customFormat="false" ht="15" hidden="false" customHeight="false" outlineLevel="0" collapsed="false">
      <c r="A565" s="10" t="n">
        <v>564</v>
      </c>
      <c r="B565" s="10" t="s">
        <v>836</v>
      </c>
      <c r="C565" s="10" t="s">
        <v>822</v>
      </c>
      <c r="D565" s="10" t="s">
        <v>823</v>
      </c>
      <c r="E565" s="10" t="s">
        <v>824</v>
      </c>
      <c r="F565" s="10" t="s">
        <v>136</v>
      </c>
      <c r="G565" s="11" t="n">
        <v>121</v>
      </c>
      <c r="H565" s="11"/>
      <c r="I565" s="11"/>
      <c r="J565" s="11"/>
      <c r="K565" s="10" t="str">
        <f aca="false">IF(ISNUMBER(J565),IF(J565&lt;10,"ультра-НЧ",IF(J565&lt;100,"НЧ",IF(J565&lt;=1000,"СЧ","ВЧ"))),IF(ISNUMBER(I565),IF(I565&lt;10,"ультра-НЧ",IF(I565&lt;100,"НЧ",IF(I565&lt;=1000,"СЧ","ВЧ"))),"нет данных"))</f>
        <v>нет данных</v>
      </c>
      <c r="L565" s="12" t="str">
        <f aca="false">IF(AND(ISNUMBER(G565),G565&gt;0,ISNUMBER(I565)),I565/G565,"")</f>
        <v/>
      </c>
      <c r="M565" s="10" t="s">
        <v>112</v>
      </c>
      <c r="N565" s="10" t="s">
        <v>836</v>
      </c>
      <c r="O565" s="10"/>
    </row>
    <row r="566" customFormat="false" ht="15" hidden="false" customHeight="false" outlineLevel="0" collapsed="false">
      <c r="A566" s="10" t="n">
        <v>565</v>
      </c>
      <c r="B566" s="10" t="s">
        <v>837</v>
      </c>
      <c r="C566" s="10" t="s">
        <v>822</v>
      </c>
      <c r="D566" s="10" t="s">
        <v>823</v>
      </c>
      <c r="E566" s="10" t="s">
        <v>824</v>
      </c>
      <c r="F566" s="10" t="s">
        <v>136</v>
      </c>
      <c r="G566" s="11" t="n">
        <v>107</v>
      </c>
      <c r="H566" s="11"/>
      <c r="I566" s="11"/>
      <c r="J566" s="11"/>
      <c r="K566" s="10" t="str">
        <f aca="false">IF(ISNUMBER(J566),IF(J566&lt;10,"ультра-НЧ",IF(J566&lt;100,"НЧ",IF(J566&lt;=1000,"СЧ","ВЧ"))),IF(ISNUMBER(I566),IF(I566&lt;10,"ультра-НЧ",IF(I566&lt;100,"НЧ",IF(I566&lt;=1000,"СЧ","ВЧ"))),"нет данных"))</f>
        <v>нет данных</v>
      </c>
      <c r="L566" s="12" t="str">
        <f aca="false">IF(AND(ISNUMBER(G566),G566&gt;0,ISNUMBER(I566)),I566/G566,"")</f>
        <v/>
      </c>
      <c r="M566" s="10" t="s">
        <v>112</v>
      </c>
      <c r="N566" s="10" t="s">
        <v>837</v>
      </c>
      <c r="O566" s="10"/>
    </row>
    <row r="567" customFormat="false" ht="15" hidden="false" customHeight="false" outlineLevel="0" collapsed="false">
      <c r="A567" s="10" t="n">
        <v>566</v>
      </c>
      <c r="B567" s="10" t="s">
        <v>838</v>
      </c>
      <c r="C567" s="10" t="s">
        <v>822</v>
      </c>
      <c r="D567" s="10" t="s">
        <v>823</v>
      </c>
      <c r="E567" s="10" t="s">
        <v>824</v>
      </c>
      <c r="F567" s="10" t="s">
        <v>136</v>
      </c>
      <c r="G567" s="11" t="n">
        <v>106</v>
      </c>
      <c r="H567" s="11"/>
      <c r="I567" s="11"/>
      <c r="J567" s="11"/>
      <c r="K567" s="10" t="str">
        <f aca="false">IF(ISNUMBER(J567),IF(J567&lt;10,"ультра-НЧ",IF(J567&lt;100,"НЧ",IF(J567&lt;=1000,"СЧ","ВЧ"))),IF(ISNUMBER(I567),IF(I567&lt;10,"ультра-НЧ",IF(I567&lt;100,"НЧ",IF(I567&lt;=1000,"СЧ","ВЧ"))),"нет данных"))</f>
        <v>нет данных</v>
      </c>
      <c r="L567" s="12" t="str">
        <f aca="false">IF(AND(ISNUMBER(G567),G567&gt;0,ISNUMBER(I567)),I567/G567,"")</f>
        <v/>
      </c>
      <c r="M567" s="10" t="s">
        <v>112</v>
      </c>
      <c r="N567" s="10" t="s">
        <v>839</v>
      </c>
      <c r="O567" s="10"/>
    </row>
    <row r="568" customFormat="false" ht="15" hidden="false" customHeight="false" outlineLevel="0" collapsed="false">
      <c r="A568" s="10" t="n">
        <v>567</v>
      </c>
      <c r="B568" s="10" t="s">
        <v>840</v>
      </c>
      <c r="C568" s="10" t="s">
        <v>822</v>
      </c>
      <c r="D568" s="10" t="s">
        <v>823</v>
      </c>
      <c r="E568" s="10" t="s">
        <v>824</v>
      </c>
      <c r="F568" s="10" t="s">
        <v>136</v>
      </c>
      <c r="G568" s="11" t="n">
        <v>83</v>
      </c>
      <c r="H568" s="11"/>
      <c r="I568" s="11"/>
      <c r="J568" s="11"/>
      <c r="K568" s="10" t="str">
        <f aca="false">IF(ISNUMBER(J568),IF(J568&lt;10,"ультра-НЧ",IF(J568&lt;100,"НЧ",IF(J568&lt;=1000,"СЧ","ВЧ"))),IF(ISNUMBER(I568),IF(I568&lt;10,"ультра-НЧ",IF(I568&lt;100,"НЧ",IF(I568&lt;=1000,"СЧ","ВЧ"))),"нет данных"))</f>
        <v>нет данных</v>
      </c>
      <c r="L568" s="12" t="str">
        <f aca="false">IF(AND(ISNUMBER(G568),G568&gt;0,ISNUMBER(I568)),I568/G568,"")</f>
        <v/>
      </c>
      <c r="M568" s="10" t="s">
        <v>94</v>
      </c>
      <c r="N568" s="10" t="s">
        <v>840</v>
      </c>
      <c r="O568" s="10"/>
    </row>
    <row r="569" customFormat="false" ht="15" hidden="false" customHeight="false" outlineLevel="0" collapsed="false">
      <c r="A569" s="10" t="n">
        <v>568</v>
      </c>
      <c r="B569" s="10" t="s">
        <v>841</v>
      </c>
      <c r="C569" s="10" t="s">
        <v>822</v>
      </c>
      <c r="D569" s="10" t="s">
        <v>823</v>
      </c>
      <c r="E569" s="10" t="s">
        <v>824</v>
      </c>
      <c r="F569" s="10" t="s">
        <v>136</v>
      </c>
      <c r="G569" s="11" t="n">
        <v>73</v>
      </c>
      <c r="H569" s="11"/>
      <c r="I569" s="11"/>
      <c r="J569" s="11"/>
      <c r="K569" s="10" t="str">
        <f aca="false">IF(ISNUMBER(J569),IF(J569&lt;10,"ультра-НЧ",IF(J569&lt;100,"НЧ",IF(J569&lt;=1000,"СЧ","ВЧ"))),IF(ISNUMBER(I569),IF(I569&lt;10,"ультра-НЧ",IF(I569&lt;100,"НЧ",IF(I569&lt;=1000,"СЧ","ВЧ"))),"нет данных"))</f>
        <v>нет данных</v>
      </c>
      <c r="L569" s="12" t="str">
        <f aca="false">IF(AND(ISNUMBER(G569),G569&gt;0,ISNUMBER(I569)),I569/G569,"")</f>
        <v/>
      </c>
      <c r="M569" s="10" t="s">
        <v>94</v>
      </c>
      <c r="N569" s="10" t="s">
        <v>841</v>
      </c>
      <c r="O569" s="10"/>
    </row>
    <row r="570" customFormat="false" ht="15" hidden="false" customHeight="false" outlineLevel="0" collapsed="false">
      <c r="A570" s="10" t="n">
        <v>569</v>
      </c>
      <c r="B570" s="10" t="s">
        <v>842</v>
      </c>
      <c r="C570" s="10" t="s">
        <v>822</v>
      </c>
      <c r="D570" s="10" t="s">
        <v>823</v>
      </c>
      <c r="E570" s="10" t="s">
        <v>824</v>
      </c>
      <c r="F570" s="10" t="s">
        <v>136</v>
      </c>
      <c r="G570" s="11" t="n">
        <v>65</v>
      </c>
      <c r="H570" s="11"/>
      <c r="I570" s="11"/>
      <c r="J570" s="11"/>
      <c r="K570" s="10" t="str">
        <f aca="false">IF(ISNUMBER(J570),IF(J570&lt;10,"ультра-НЧ",IF(J570&lt;100,"НЧ",IF(J570&lt;=1000,"СЧ","ВЧ"))),IF(ISNUMBER(I570),IF(I570&lt;10,"ультра-НЧ",IF(I570&lt;100,"НЧ",IF(I570&lt;=1000,"СЧ","ВЧ"))),"нет данных"))</f>
        <v>нет данных</v>
      </c>
      <c r="L570" s="12" t="str">
        <f aca="false">IF(AND(ISNUMBER(G570),G570&gt;0,ISNUMBER(I570)),I570/G570,"")</f>
        <v/>
      </c>
      <c r="M570" s="10" t="s">
        <v>94</v>
      </c>
      <c r="N570" s="10" t="s">
        <v>842</v>
      </c>
      <c r="O570" s="10"/>
    </row>
    <row r="571" customFormat="false" ht="15" hidden="false" customHeight="false" outlineLevel="0" collapsed="false">
      <c r="A571" s="10" t="n">
        <v>570</v>
      </c>
      <c r="B571" s="10" t="s">
        <v>843</v>
      </c>
      <c r="C571" s="10" t="s">
        <v>822</v>
      </c>
      <c r="D571" s="10" t="s">
        <v>823</v>
      </c>
      <c r="E571" s="10" t="s">
        <v>824</v>
      </c>
      <c r="F571" s="10" t="s">
        <v>136</v>
      </c>
      <c r="G571" s="11" t="n">
        <v>61</v>
      </c>
      <c r="H571" s="11"/>
      <c r="I571" s="11"/>
      <c r="J571" s="11"/>
      <c r="K571" s="10" t="str">
        <f aca="false">IF(ISNUMBER(J571),IF(J571&lt;10,"ультра-НЧ",IF(J571&lt;100,"НЧ",IF(J571&lt;=1000,"СЧ","ВЧ"))),IF(ISNUMBER(I571),IF(I571&lt;10,"ультра-НЧ",IF(I571&lt;100,"НЧ",IF(I571&lt;=1000,"СЧ","ВЧ"))),"нет данных"))</f>
        <v>нет данных</v>
      </c>
      <c r="L571" s="12" t="str">
        <f aca="false">IF(AND(ISNUMBER(G571),G571&gt;0,ISNUMBER(I571)),I571/G571,"")</f>
        <v/>
      </c>
      <c r="M571" s="10" t="s">
        <v>94</v>
      </c>
      <c r="N571" s="10" t="s">
        <v>844</v>
      </c>
      <c r="O571" s="10"/>
    </row>
    <row r="572" customFormat="false" ht="15" hidden="false" customHeight="false" outlineLevel="0" collapsed="false">
      <c r="A572" s="10" t="n">
        <v>571</v>
      </c>
      <c r="B572" s="10" t="s">
        <v>845</v>
      </c>
      <c r="C572" s="10" t="s">
        <v>822</v>
      </c>
      <c r="D572" s="10" t="s">
        <v>823</v>
      </c>
      <c r="E572" s="10" t="s">
        <v>824</v>
      </c>
      <c r="F572" s="10" t="s">
        <v>136</v>
      </c>
      <c r="G572" s="11" t="n">
        <v>56</v>
      </c>
      <c r="H572" s="11"/>
      <c r="I572" s="11"/>
      <c r="J572" s="11"/>
      <c r="K572" s="10" t="str">
        <f aca="false">IF(ISNUMBER(J572),IF(J572&lt;10,"ультра-НЧ",IF(J572&lt;100,"НЧ",IF(J572&lt;=1000,"СЧ","ВЧ"))),IF(ISNUMBER(I572),IF(I572&lt;10,"ультра-НЧ",IF(I572&lt;100,"НЧ",IF(I572&lt;=1000,"СЧ","ВЧ"))),"нет данных"))</f>
        <v>нет данных</v>
      </c>
      <c r="L572" s="12" t="str">
        <f aca="false">IF(AND(ISNUMBER(G572),G572&gt;0,ISNUMBER(I572)),I572/G572,"")</f>
        <v/>
      </c>
      <c r="M572" s="10" t="s">
        <v>94</v>
      </c>
      <c r="N572" s="10" t="s">
        <v>845</v>
      </c>
      <c r="O572" s="10"/>
    </row>
    <row r="573" customFormat="false" ht="15" hidden="false" customHeight="false" outlineLevel="0" collapsed="false">
      <c r="A573" s="10" t="n">
        <v>572</v>
      </c>
      <c r="B573" s="10" t="s">
        <v>846</v>
      </c>
      <c r="C573" s="10" t="s">
        <v>822</v>
      </c>
      <c r="D573" s="10" t="s">
        <v>823</v>
      </c>
      <c r="E573" s="10" t="s">
        <v>824</v>
      </c>
      <c r="F573" s="10" t="s">
        <v>136</v>
      </c>
      <c r="G573" s="11" t="n">
        <v>53</v>
      </c>
      <c r="H573" s="11"/>
      <c r="I573" s="11"/>
      <c r="J573" s="11"/>
      <c r="K573" s="10" t="str">
        <f aca="false">IF(ISNUMBER(J573),IF(J573&lt;10,"ультра-НЧ",IF(J573&lt;100,"НЧ",IF(J573&lt;=1000,"СЧ","ВЧ"))),IF(ISNUMBER(I573),IF(I573&lt;10,"ультра-НЧ",IF(I573&lt;100,"НЧ",IF(I573&lt;=1000,"СЧ","ВЧ"))),"нет данных"))</f>
        <v>нет данных</v>
      </c>
      <c r="L573" s="12" t="str">
        <f aca="false">IF(AND(ISNUMBER(G573),G573&gt;0,ISNUMBER(I573)),I573/G573,"")</f>
        <v/>
      </c>
      <c r="M573" s="10" t="s">
        <v>94</v>
      </c>
      <c r="N573" s="10" t="s">
        <v>846</v>
      </c>
      <c r="O573" s="10"/>
    </row>
    <row r="574" customFormat="false" ht="15" hidden="false" customHeight="false" outlineLevel="0" collapsed="false">
      <c r="A574" s="10" t="n">
        <v>573</v>
      </c>
      <c r="B574" s="10" t="s">
        <v>847</v>
      </c>
      <c r="C574" s="10" t="s">
        <v>822</v>
      </c>
      <c r="D574" s="10" t="s">
        <v>823</v>
      </c>
      <c r="E574" s="10" t="s">
        <v>824</v>
      </c>
      <c r="F574" s="10" t="s">
        <v>136</v>
      </c>
      <c r="G574" s="11" t="n">
        <v>41</v>
      </c>
      <c r="H574" s="11"/>
      <c r="I574" s="11"/>
      <c r="J574" s="11"/>
      <c r="K574" s="10" t="str">
        <f aca="false">IF(ISNUMBER(J574),IF(J574&lt;10,"ультра-НЧ",IF(J574&lt;100,"НЧ",IF(J574&lt;=1000,"СЧ","ВЧ"))),IF(ISNUMBER(I574),IF(I574&lt;10,"ультра-НЧ",IF(I574&lt;100,"НЧ",IF(I574&lt;=1000,"СЧ","ВЧ"))),"нет данных"))</f>
        <v>нет данных</v>
      </c>
      <c r="L574" s="12" t="str">
        <f aca="false">IF(AND(ISNUMBER(G574),G574&gt;0,ISNUMBER(I574)),I574/G574,"")</f>
        <v/>
      </c>
      <c r="M574" s="10" t="s">
        <v>94</v>
      </c>
      <c r="N574" s="10" t="s">
        <v>847</v>
      </c>
      <c r="O574" s="10"/>
    </row>
    <row r="575" customFormat="false" ht="15" hidden="false" customHeight="false" outlineLevel="0" collapsed="false">
      <c r="A575" s="10" t="n">
        <v>574</v>
      </c>
      <c r="B575" s="10" t="s">
        <v>848</v>
      </c>
      <c r="C575" s="10" t="s">
        <v>822</v>
      </c>
      <c r="D575" s="10" t="s">
        <v>823</v>
      </c>
      <c r="E575" s="10" t="s">
        <v>824</v>
      </c>
      <c r="F575" s="10" t="s">
        <v>136</v>
      </c>
      <c r="G575" s="11" t="n">
        <v>40</v>
      </c>
      <c r="H575" s="11"/>
      <c r="I575" s="11"/>
      <c r="J575" s="11"/>
      <c r="K575" s="10" t="str">
        <f aca="false">IF(ISNUMBER(J575),IF(J575&lt;10,"ультра-НЧ",IF(J575&lt;100,"НЧ",IF(J575&lt;=1000,"СЧ","ВЧ"))),IF(ISNUMBER(I575),IF(I575&lt;10,"ультра-НЧ",IF(I575&lt;100,"НЧ",IF(I575&lt;=1000,"СЧ","ВЧ"))),"нет данных"))</f>
        <v>нет данных</v>
      </c>
      <c r="L575" s="12" t="str">
        <f aca="false">IF(AND(ISNUMBER(G575),G575&gt;0,ISNUMBER(I575)),I575/G575,"")</f>
        <v/>
      </c>
      <c r="M575" s="10" t="s">
        <v>94</v>
      </c>
      <c r="N575" s="10" t="s">
        <v>849</v>
      </c>
      <c r="O575" s="10"/>
    </row>
    <row r="576" customFormat="false" ht="15" hidden="false" customHeight="false" outlineLevel="0" collapsed="false">
      <c r="A576" s="10" t="n">
        <v>575</v>
      </c>
      <c r="B576" s="10" t="s">
        <v>850</v>
      </c>
      <c r="C576" s="10" t="s">
        <v>822</v>
      </c>
      <c r="D576" s="10" t="s">
        <v>823</v>
      </c>
      <c r="E576" s="10" t="s">
        <v>824</v>
      </c>
      <c r="F576" s="10" t="s">
        <v>136</v>
      </c>
      <c r="G576" s="11" t="n">
        <v>39</v>
      </c>
      <c r="H576" s="11"/>
      <c r="I576" s="11"/>
      <c r="J576" s="11"/>
      <c r="K576" s="10" t="str">
        <f aca="false">IF(ISNUMBER(J576),IF(J576&lt;10,"ультра-НЧ",IF(J576&lt;100,"НЧ",IF(J576&lt;=1000,"СЧ","ВЧ"))),IF(ISNUMBER(I576),IF(I576&lt;10,"ультра-НЧ",IF(I576&lt;100,"НЧ",IF(I576&lt;=1000,"СЧ","ВЧ"))),"нет данных"))</f>
        <v>нет данных</v>
      </c>
      <c r="L576" s="12" t="str">
        <f aca="false">IF(AND(ISNUMBER(G576),G576&gt;0,ISNUMBER(I576)),I576/G576,"")</f>
        <v/>
      </c>
      <c r="M576" s="10" t="s">
        <v>94</v>
      </c>
      <c r="N576" s="10" t="s">
        <v>850</v>
      </c>
      <c r="O576" s="10"/>
    </row>
    <row r="577" customFormat="false" ht="15" hidden="false" customHeight="false" outlineLevel="0" collapsed="false">
      <c r="A577" s="10" t="n">
        <v>576</v>
      </c>
      <c r="B577" s="10" t="s">
        <v>851</v>
      </c>
      <c r="C577" s="10" t="s">
        <v>822</v>
      </c>
      <c r="D577" s="10" t="s">
        <v>823</v>
      </c>
      <c r="E577" s="10" t="s">
        <v>824</v>
      </c>
      <c r="F577" s="10" t="s">
        <v>136</v>
      </c>
      <c r="G577" s="11" t="n">
        <v>36</v>
      </c>
      <c r="H577" s="11"/>
      <c r="I577" s="11"/>
      <c r="J577" s="11"/>
      <c r="K577" s="10" t="str">
        <f aca="false">IF(ISNUMBER(J577),IF(J577&lt;10,"ультра-НЧ",IF(J577&lt;100,"НЧ",IF(J577&lt;=1000,"СЧ","ВЧ"))),IF(ISNUMBER(I577),IF(I577&lt;10,"ультра-НЧ",IF(I577&lt;100,"НЧ",IF(I577&lt;=1000,"СЧ","ВЧ"))),"нет данных"))</f>
        <v>нет данных</v>
      </c>
      <c r="L577" s="12" t="str">
        <f aca="false">IF(AND(ISNUMBER(G577),G577&gt;0,ISNUMBER(I577)),I577/G577,"")</f>
        <v/>
      </c>
      <c r="M577" s="10" t="s">
        <v>94</v>
      </c>
      <c r="N577" s="10" t="s">
        <v>851</v>
      </c>
      <c r="O577" s="10"/>
    </row>
    <row r="578" customFormat="false" ht="15" hidden="false" customHeight="false" outlineLevel="0" collapsed="false">
      <c r="A578" s="10" t="n">
        <v>577</v>
      </c>
      <c r="B578" s="10" t="s">
        <v>852</v>
      </c>
      <c r="C578" s="10" t="s">
        <v>822</v>
      </c>
      <c r="D578" s="10" t="s">
        <v>823</v>
      </c>
      <c r="E578" s="10" t="s">
        <v>824</v>
      </c>
      <c r="F578" s="10" t="s">
        <v>136</v>
      </c>
      <c r="G578" s="11" t="n">
        <v>35</v>
      </c>
      <c r="H578" s="11"/>
      <c r="I578" s="11"/>
      <c r="J578" s="11"/>
      <c r="K578" s="10" t="str">
        <f aca="false">IF(ISNUMBER(J578),IF(J578&lt;10,"ультра-НЧ",IF(J578&lt;100,"НЧ",IF(J578&lt;=1000,"СЧ","ВЧ"))),IF(ISNUMBER(I578),IF(I578&lt;10,"ультра-НЧ",IF(I578&lt;100,"НЧ",IF(I578&lt;=1000,"СЧ","ВЧ"))),"нет данных"))</f>
        <v>нет данных</v>
      </c>
      <c r="L578" s="12" t="str">
        <f aca="false">IF(AND(ISNUMBER(G578),G578&gt;0,ISNUMBER(I578)),I578/G578,"")</f>
        <v/>
      </c>
      <c r="M578" s="10" t="s">
        <v>94</v>
      </c>
      <c r="N578" s="10" t="s">
        <v>852</v>
      </c>
      <c r="O578" s="10"/>
    </row>
    <row r="579" customFormat="false" ht="15" hidden="false" customHeight="false" outlineLevel="0" collapsed="false">
      <c r="A579" s="10" t="n">
        <v>578</v>
      </c>
      <c r="B579" s="10" t="s">
        <v>853</v>
      </c>
      <c r="C579" s="10" t="s">
        <v>822</v>
      </c>
      <c r="D579" s="10" t="s">
        <v>823</v>
      </c>
      <c r="E579" s="10" t="s">
        <v>824</v>
      </c>
      <c r="F579" s="10" t="s">
        <v>136</v>
      </c>
      <c r="G579" s="11" t="n">
        <v>34</v>
      </c>
      <c r="H579" s="11"/>
      <c r="I579" s="11"/>
      <c r="J579" s="11"/>
      <c r="K579" s="10" t="str">
        <f aca="false">IF(ISNUMBER(J579),IF(J579&lt;10,"ультра-НЧ",IF(J579&lt;100,"НЧ",IF(J579&lt;=1000,"СЧ","ВЧ"))),IF(ISNUMBER(I579),IF(I579&lt;10,"ультра-НЧ",IF(I579&lt;100,"НЧ",IF(I579&lt;=1000,"СЧ","ВЧ"))),"нет данных"))</f>
        <v>нет данных</v>
      </c>
      <c r="L579" s="12" t="str">
        <f aca="false">IF(AND(ISNUMBER(G579),G579&gt;0,ISNUMBER(I579)),I579/G579,"")</f>
        <v/>
      </c>
      <c r="M579" s="10" t="s">
        <v>94</v>
      </c>
      <c r="N579" s="10" t="s">
        <v>854</v>
      </c>
      <c r="O579" s="10"/>
    </row>
    <row r="580" customFormat="false" ht="15" hidden="false" customHeight="false" outlineLevel="0" collapsed="false">
      <c r="A580" s="10" t="n">
        <v>579</v>
      </c>
      <c r="B580" s="10" t="s">
        <v>855</v>
      </c>
      <c r="C580" s="10" t="s">
        <v>822</v>
      </c>
      <c r="D580" s="10" t="s">
        <v>823</v>
      </c>
      <c r="E580" s="10" t="s">
        <v>824</v>
      </c>
      <c r="F580" s="10" t="s">
        <v>136</v>
      </c>
      <c r="G580" s="11" t="n">
        <v>34</v>
      </c>
      <c r="H580" s="11"/>
      <c r="I580" s="11"/>
      <c r="J580" s="11"/>
      <c r="K580" s="10" t="str">
        <f aca="false">IF(ISNUMBER(J580),IF(J580&lt;10,"ультра-НЧ",IF(J580&lt;100,"НЧ",IF(J580&lt;=1000,"СЧ","ВЧ"))),IF(ISNUMBER(I580),IF(I580&lt;10,"ультра-НЧ",IF(I580&lt;100,"НЧ",IF(I580&lt;=1000,"СЧ","ВЧ"))),"нет данных"))</f>
        <v>нет данных</v>
      </c>
      <c r="L580" s="12" t="str">
        <f aca="false">IF(AND(ISNUMBER(G580),G580&gt;0,ISNUMBER(I580)),I580/G580,"")</f>
        <v/>
      </c>
      <c r="M580" s="10" t="s">
        <v>94</v>
      </c>
      <c r="N580" s="10" t="s">
        <v>855</v>
      </c>
      <c r="O580" s="10"/>
    </row>
    <row r="581" customFormat="false" ht="15" hidden="false" customHeight="false" outlineLevel="0" collapsed="false">
      <c r="A581" s="10" t="n">
        <v>580</v>
      </c>
      <c r="B581" s="10" t="s">
        <v>856</v>
      </c>
      <c r="C581" s="10" t="s">
        <v>822</v>
      </c>
      <c r="D581" s="10" t="s">
        <v>823</v>
      </c>
      <c r="E581" s="10" t="s">
        <v>824</v>
      </c>
      <c r="F581" s="10" t="s">
        <v>136</v>
      </c>
      <c r="G581" s="11" t="n">
        <v>34</v>
      </c>
      <c r="H581" s="11"/>
      <c r="I581" s="11"/>
      <c r="J581" s="11"/>
      <c r="K581" s="10" t="str">
        <f aca="false">IF(ISNUMBER(J581),IF(J581&lt;10,"ультра-НЧ",IF(J581&lt;100,"НЧ",IF(J581&lt;=1000,"СЧ","ВЧ"))),IF(ISNUMBER(I581),IF(I581&lt;10,"ультра-НЧ",IF(I581&lt;100,"НЧ",IF(I581&lt;=1000,"СЧ","ВЧ"))),"нет данных"))</f>
        <v>нет данных</v>
      </c>
      <c r="L581" s="12" t="str">
        <f aca="false">IF(AND(ISNUMBER(G581),G581&gt;0,ISNUMBER(I581)),I581/G581,"")</f>
        <v/>
      </c>
      <c r="M581" s="10" t="s">
        <v>94</v>
      </c>
      <c r="N581" s="10" t="s">
        <v>856</v>
      </c>
      <c r="O581" s="10"/>
    </row>
    <row r="582" customFormat="false" ht="15" hidden="false" customHeight="false" outlineLevel="0" collapsed="false">
      <c r="A582" s="10" t="n">
        <v>581</v>
      </c>
      <c r="B582" s="10" t="s">
        <v>857</v>
      </c>
      <c r="C582" s="10" t="s">
        <v>822</v>
      </c>
      <c r="D582" s="10" t="s">
        <v>823</v>
      </c>
      <c r="E582" s="10" t="s">
        <v>824</v>
      </c>
      <c r="F582" s="10" t="s">
        <v>136</v>
      </c>
      <c r="G582" s="11" t="n">
        <v>31</v>
      </c>
      <c r="H582" s="11"/>
      <c r="I582" s="11"/>
      <c r="J582" s="11"/>
      <c r="K582" s="10" t="str">
        <f aca="false">IF(ISNUMBER(J582),IF(J582&lt;10,"ультра-НЧ",IF(J582&lt;100,"НЧ",IF(J582&lt;=1000,"СЧ","ВЧ"))),IF(ISNUMBER(I582),IF(I582&lt;10,"ультра-НЧ",IF(I582&lt;100,"НЧ",IF(I582&lt;=1000,"СЧ","ВЧ"))),"нет данных"))</f>
        <v>нет данных</v>
      </c>
      <c r="L582" s="12" t="str">
        <f aca="false">IF(AND(ISNUMBER(G582),G582&gt;0,ISNUMBER(I582)),I582/G582,"")</f>
        <v/>
      </c>
      <c r="M582" s="10" t="s">
        <v>94</v>
      </c>
      <c r="N582" s="10" t="s">
        <v>857</v>
      </c>
      <c r="O582" s="10"/>
    </row>
    <row r="583" customFormat="false" ht="15" hidden="false" customHeight="false" outlineLevel="0" collapsed="false">
      <c r="A583" s="10" t="n">
        <v>582</v>
      </c>
      <c r="B583" s="10" t="s">
        <v>858</v>
      </c>
      <c r="C583" s="10" t="s">
        <v>822</v>
      </c>
      <c r="D583" s="10" t="s">
        <v>823</v>
      </c>
      <c r="E583" s="10" t="s">
        <v>824</v>
      </c>
      <c r="F583" s="10" t="s">
        <v>136</v>
      </c>
      <c r="G583" s="11" t="n">
        <v>30</v>
      </c>
      <c r="H583" s="11"/>
      <c r="I583" s="11"/>
      <c r="J583" s="11"/>
      <c r="K583" s="10" t="str">
        <f aca="false">IF(ISNUMBER(J583),IF(J583&lt;10,"ультра-НЧ",IF(J583&lt;100,"НЧ",IF(J583&lt;=1000,"СЧ","ВЧ"))),IF(ISNUMBER(I583),IF(I583&lt;10,"ультра-НЧ",IF(I583&lt;100,"НЧ",IF(I583&lt;=1000,"СЧ","ВЧ"))),"нет данных"))</f>
        <v>нет данных</v>
      </c>
      <c r="L583" s="12" t="str">
        <f aca="false">IF(AND(ISNUMBER(G583),G583&gt;0,ISNUMBER(I583)),I583/G583,"")</f>
        <v/>
      </c>
      <c r="M583" s="10" t="s">
        <v>94</v>
      </c>
      <c r="N583" s="10" t="s">
        <v>859</v>
      </c>
      <c r="O583" s="10"/>
    </row>
    <row r="584" customFormat="false" ht="15" hidden="false" customHeight="false" outlineLevel="0" collapsed="false">
      <c r="A584" s="10" t="n">
        <v>583</v>
      </c>
      <c r="B584" s="10" t="s">
        <v>860</v>
      </c>
      <c r="C584" s="10" t="s">
        <v>822</v>
      </c>
      <c r="D584" s="10" t="s">
        <v>823</v>
      </c>
      <c r="E584" s="10" t="s">
        <v>824</v>
      </c>
      <c r="F584" s="10" t="s">
        <v>136</v>
      </c>
      <c r="G584" s="11" t="n">
        <v>28</v>
      </c>
      <c r="H584" s="11"/>
      <c r="I584" s="11"/>
      <c r="J584" s="11"/>
      <c r="K584" s="10" t="str">
        <f aca="false">IF(ISNUMBER(J584),IF(J584&lt;10,"ультра-НЧ",IF(J584&lt;100,"НЧ",IF(J584&lt;=1000,"СЧ","ВЧ"))),IF(ISNUMBER(I584),IF(I584&lt;10,"ультра-НЧ",IF(I584&lt;100,"НЧ",IF(I584&lt;=1000,"СЧ","ВЧ"))),"нет данных"))</f>
        <v>нет данных</v>
      </c>
      <c r="L584" s="12" t="str">
        <f aca="false">IF(AND(ISNUMBER(G584),G584&gt;0,ISNUMBER(I584)),I584/G584,"")</f>
        <v/>
      </c>
      <c r="M584" s="10" t="s">
        <v>94</v>
      </c>
      <c r="N584" s="10" t="s">
        <v>861</v>
      </c>
      <c r="O584" s="10"/>
    </row>
    <row r="585" customFormat="false" ht="15" hidden="false" customHeight="false" outlineLevel="0" collapsed="false">
      <c r="A585" s="10" t="n">
        <v>584</v>
      </c>
      <c r="B585" s="10" t="s">
        <v>862</v>
      </c>
      <c r="C585" s="10" t="s">
        <v>822</v>
      </c>
      <c r="D585" s="10" t="s">
        <v>823</v>
      </c>
      <c r="E585" s="10" t="s">
        <v>824</v>
      </c>
      <c r="F585" s="10" t="s">
        <v>136</v>
      </c>
      <c r="G585" s="11" t="n">
        <v>28</v>
      </c>
      <c r="H585" s="11"/>
      <c r="I585" s="11"/>
      <c r="J585" s="11"/>
      <c r="K585" s="10" t="str">
        <f aca="false">IF(ISNUMBER(J585),IF(J585&lt;10,"ультра-НЧ",IF(J585&lt;100,"НЧ",IF(J585&lt;=1000,"СЧ","ВЧ"))),IF(ISNUMBER(I585),IF(I585&lt;10,"ультра-НЧ",IF(I585&lt;100,"НЧ",IF(I585&lt;=1000,"СЧ","ВЧ"))),"нет данных"))</f>
        <v>нет данных</v>
      </c>
      <c r="L585" s="12" t="str">
        <f aca="false">IF(AND(ISNUMBER(G585),G585&gt;0,ISNUMBER(I585)),I585/G585,"")</f>
        <v/>
      </c>
      <c r="M585" s="10" t="s">
        <v>94</v>
      </c>
      <c r="N585" s="10" t="s">
        <v>862</v>
      </c>
      <c r="O585" s="10"/>
    </row>
    <row r="586" customFormat="false" ht="15" hidden="false" customHeight="false" outlineLevel="0" collapsed="false">
      <c r="A586" s="10" t="n">
        <v>585</v>
      </c>
      <c r="B586" s="10" t="s">
        <v>863</v>
      </c>
      <c r="C586" s="10" t="s">
        <v>822</v>
      </c>
      <c r="D586" s="10" t="s">
        <v>823</v>
      </c>
      <c r="E586" s="10" t="s">
        <v>824</v>
      </c>
      <c r="F586" s="10" t="s">
        <v>136</v>
      </c>
      <c r="G586" s="11" t="n">
        <v>28</v>
      </c>
      <c r="H586" s="11"/>
      <c r="I586" s="11"/>
      <c r="J586" s="11"/>
      <c r="K586" s="10" t="str">
        <f aca="false">IF(ISNUMBER(J586),IF(J586&lt;10,"ультра-НЧ",IF(J586&lt;100,"НЧ",IF(J586&lt;=1000,"СЧ","ВЧ"))),IF(ISNUMBER(I586),IF(I586&lt;10,"ультра-НЧ",IF(I586&lt;100,"НЧ",IF(I586&lt;=1000,"СЧ","ВЧ"))),"нет данных"))</f>
        <v>нет данных</v>
      </c>
      <c r="L586" s="12" t="str">
        <f aca="false">IF(AND(ISNUMBER(G586),G586&gt;0,ISNUMBER(I586)),I586/G586,"")</f>
        <v/>
      </c>
      <c r="M586" s="10" t="s">
        <v>94</v>
      </c>
      <c r="N586" s="10" t="s">
        <v>863</v>
      </c>
      <c r="O586" s="10"/>
    </row>
    <row r="587" customFormat="false" ht="15" hidden="false" customHeight="false" outlineLevel="0" collapsed="false">
      <c r="A587" s="10" t="n">
        <v>586</v>
      </c>
      <c r="B587" s="10" t="s">
        <v>864</v>
      </c>
      <c r="C587" s="10" t="s">
        <v>822</v>
      </c>
      <c r="D587" s="10" t="s">
        <v>823</v>
      </c>
      <c r="E587" s="10" t="s">
        <v>824</v>
      </c>
      <c r="F587" s="10" t="s">
        <v>136</v>
      </c>
      <c r="G587" s="11" t="n">
        <v>27</v>
      </c>
      <c r="H587" s="11"/>
      <c r="I587" s="11"/>
      <c r="J587" s="11"/>
      <c r="K587" s="10" t="str">
        <f aca="false">IF(ISNUMBER(J587),IF(J587&lt;10,"ультра-НЧ",IF(J587&lt;100,"НЧ",IF(J587&lt;=1000,"СЧ","ВЧ"))),IF(ISNUMBER(I587),IF(I587&lt;10,"ультра-НЧ",IF(I587&lt;100,"НЧ",IF(I587&lt;=1000,"СЧ","ВЧ"))),"нет данных"))</f>
        <v>нет данных</v>
      </c>
      <c r="L587" s="12" t="str">
        <f aca="false">IF(AND(ISNUMBER(G587),G587&gt;0,ISNUMBER(I587)),I587/G587,"")</f>
        <v/>
      </c>
      <c r="M587" s="10" t="s">
        <v>94</v>
      </c>
      <c r="N587" s="10" t="s">
        <v>864</v>
      </c>
      <c r="O587" s="10"/>
    </row>
    <row r="588" customFormat="false" ht="15" hidden="false" customHeight="false" outlineLevel="0" collapsed="false">
      <c r="A588" s="10" t="n">
        <v>587</v>
      </c>
      <c r="B588" s="10" t="s">
        <v>865</v>
      </c>
      <c r="C588" s="10" t="s">
        <v>822</v>
      </c>
      <c r="D588" s="10" t="s">
        <v>823</v>
      </c>
      <c r="E588" s="10" t="s">
        <v>824</v>
      </c>
      <c r="F588" s="10" t="s">
        <v>136</v>
      </c>
      <c r="G588" s="11" t="n">
        <v>26</v>
      </c>
      <c r="H588" s="11"/>
      <c r="I588" s="11"/>
      <c r="J588" s="11"/>
      <c r="K588" s="10" t="str">
        <f aca="false">IF(ISNUMBER(J588),IF(J588&lt;10,"ультра-НЧ",IF(J588&lt;100,"НЧ",IF(J588&lt;=1000,"СЧ","ВЧ"))),IF(ISNUMBER(I588),IF(I588&lt;10,"ультра-НЧ",IF(I588&lt;100,"НЧ",IF(I588&lt;=1000,"СЧ","ВЧ"))),"нет данных"))</f>
        <v>нет данных</v>
      </c>
      <c r="L588" s="12" t="str">
        <f aca="false">IF(AND(ISNUMBER(G588),G588&gt;0,ISNUMBER(I588)),I588/G588,"")</f>
        <v/>
      </c>
      <c r="M588" s="10" t="s">
        <v>94</v>
      </c>
      <c r="N588" s="10" t="s">
        <v>865</v>
      </c>
      <c r="O588" s="10"/>
    </row>
    <row r="589" customFormat="false" ht="15" hidden="false" customHeight="false" outlineLevel="0" collapsed="false">
      <c r="A589" s="10" t="n">
        <v>588</v>
      </c>
      <c r="B589" s="10" t="s">
        <v>866</v>
      </c>
      <c r="C589" s="10" t="s">
        <v>822</v>
      </c>
      <c r="D589" s="10" t="s">
        <v>823</v>
      </c>
      <c r="E589" s="10" t="s">
        <v>824</v>
      </c>
      <c r="F589" s="10" t="s">
        <v>136</v>
      </c>
      <c r="G589" s="11" t="n">
        <v>26</v>
      </c>
      <c r="H589" s="11"/>
      <c r="I589" s="11"/>
      <c r="J589" s="11"/>
      <c r="K589" s="10" t="str">
        <f aca="false">IF(ISNUMBER(J589),IF(J589&lt;10,"ультра-НЧ",IF(J589&lt;100,"НЧ",IF(J589&lt;=1000,"СЧ","ВЧ"))),IF(ISNUMBER(I589),IF(I589&lt;10,"ультра-НЧ",IF(I589&lt;100,"НЧ",IF(I589&lt;=1000,"СЧ","ВЧ"))),"нет данных"))</f>
        <v>нет данных</v>
      </c>
      <c r="L589" s="12" t="str">
        <f aca="false">IF(AND(ISNUMBER(G589),G589&gt;0,ISNUMBER(I589)),I589/G589,"")</f>
        <v/>
      </c>
      <c r="M589" s="10" t="s">
        <v>94</v>
      </c>
      <c r="N589" s="10" t="s">
        <v>867</v>
      </c>
      <c r="O589" s="10"/>
    </row>
    <row r="590" customFormat="false" ht="15" hidden="false" customHeight="false" outlineLevel="0" collapsed="false">
      <c r="A590" s="10" t="n">
        <v>589</v>
      </c>
      <c r="B590" s="10" t="s">
        <v>868</v>
      </c>
      <c r="C590" s="10" t="s">
        <v>822</v>
      </c>
      <c r="D590" s="10" t="s">
        <v>823</v>
      </c>
      <c r="E590" s="10" t="s">
        <v>824</v>
      </c>
      <c r="F590" s="10" t="s">
        <v>136</v>
      </c>
      <c r="G590" s="11" t="n">
        <v>26</v>
      </c>
      <c r="H590" s="11"/>
      <c r="I590" s="11"/>
      <c r="J590" s="11"/>
      <c r="K590" s="10" t="str">
        <f aca="false">IF(ISNUMBER(J590),IF(J590&lt;10,"ультра-НЧ",IF(J590&lt;100,"НЧ",IF(J590&lt;=1000,"СЧ","ВЧ"))),IF(ISNUMBER(I590),IF(I590&lt;10,"ультра-НЧ",IF(I590&lt;100,"НЧ",IF(I590&lt;=1000,"СЧ","ВЧ"))),"нет данных"))</f>
        <v>нет данных</v>
      </c>
      <c r="L590" s="12" t="str">
        <f aca="false">IF(AND(ISNUMBER(G590),G590&gt;0,ISNUMBER(I590)),I590/G590,"")</f>
        <v/>
      </c>
      <c r="M590" s="10" t="s">
        <v>94</v>
      </c>
      <c r="N590" s="10" t="s">
        <v>868</v>
      </c>
      <c r="O590" s="10"/>
    </row>
    <row r="591" customFormat="false" ht="15" hidden="false" customHeight="false" outlineLevel="0" collapsed="false">
      <c r="A591" s="10" t="n">
        <v>590</v>
      </c>
      <c r="B591" s="10" t="s">
        <v>869</v>
      </c>
      <c r="C591" s="10" t="s">
        <v>822</v>
      </c>
      <c r="D591" s="10" t="s">
        <v>823</v>
      </c>
      <c r="E591" s="10" t="s">
        <v>824</v>
      </c>
      <c r="F591" s="10" t="s">
        <v>136</v>
      </c>
      <c r="G591" s="11" t="n">
        <v>25</v>
      </c>
      <c r="H591" s="11"/>
      <c r="I591" s="11"/>
      <c r="J591" s="11"/>
      <c r="K591" s="10" t="str">
        <f aca="false">IF(ISNUMBER(J591),IF(J591&lt;10,"ультра-НЧ",IF(J591&lt;100,"НЧ",IF(J591&lt;=1000,"СЧ","ВЧ"))),IF(ISNUMBER(I591),IF(I591&lt;10,"ультра-НЧ",IF(I591&lt;100,"НЧ",IF(I591&lt;=1000,"СЧ","ВЧ"))),"нет данных"))</f>
        <v>нет данных</v>
      </c>
      <c r="L591" s="12" t="str">
        <f aca="false">IF(AND(ISNUMBER(G591),G591&gt;0,ISNUMBER(I591)),I591/G591,"")</f>
        <v/>
      </c>
      <c r="M591" s="10" t="s">
        <v>94</v>
      </c>
      <c r="N591" s="10" t="s">
        <v>869</v>
      </c>
      <c r="O591" s="10"/>
    </row>
    <row r="592" customFormat="false" ht="15" hidden="false" customHeight="false" outlineLevel="0" collapsed="false">
      <c r="A592" s="10" t="n">
        <v>591</v>
      </c>
      <c r="B592" s="10" t="s">
        <v>870</v>
      </c>
      <c r="C592" s="10" t="s">
        <v>822</v>
      </c>
      <c r="D592" s="10" t="s">
        <v>823</v>
      </c>
      <c r="E592" s="10" t="s">
        <v>824</v>
      </c>
      <c r="F592" s="10" t="s">
        <v>136</v>
      </c>
      <c r="G592" s="11" t="n">
        <v>25</v>
      </c>
      <c r="H592" s="11"/>
      <c r="I592" s="11"/>
      <c r="J592" s="11"/>
      <c r="K592" s="10" t="str">
        <f aca="false">IF(ISNUMBER(J592),IF(J592&lt;10,"ультра-НЧ",IF(J592&lt;100,"НЧ",IF(J592&lt;=1000,"СЧ","ВЧ"))),IF(ISNUMBER(I592),IF(I592&lt;10,"ультра-НЧ",IF(I592&lt;100,"НЧ",IF(I592&lt;=1000,"СЧ","ВЧ"))),"нет данных"))</f>
        <v>нет данных</v>
      </c>
      <c r="L592" s="12" t="str">
        <f aca="false">IF(AND(ISNUMBER(G592),G592&gt;0,ISNUMBER(I592)),I592/G592,"")</f>
        <v/>
      </c>
      <c r="M592" s="10" t="s">
        <v>94</v>
      </c>
      <c r="N592" s="10" t="s">
        <v>870</v>
      </c>
      <c r="O592" s="10"/>
    </row>
    <row r="593" customFormat="false" ht="15" hidden="false" customHeight="false" outlineLevel="0" collapsed="false">
      <c r="A593" s="10" t="n">
        <v>592</v>
      </c>
      <c r="B593" s="10" t="s">
        <v>871</v>
      </c>
      <c r="C593" s="10" t="s">
        <v>822</v>
      </c>
      <c r="D593" s="10" t="s">
        <v>823</v>
      </c>
      <c r="E593" s="10" t="s">
        <v>824</v>
      </c>
      <c r="F593" s="10" t="s">
        <v>136</v>
      </c>
      <c r="G593" s="11" t="n">
        <v>25</v>
      </c>
      <c r="H593" s="11"/>
      <c r="I593" s="11"/>
      <c r="J593" s="11"/>
      <c r="K593" s="10" t="str">
        <f aca="false">IF(ISNUMBER(J593),IF(J593&lt;10,"ультра-НЧ",IF(J593&lt;100,"НЧ",IF(J593&lt;=1000,"СЧ","ВЧ"))),IF(ISNUMBER(I593),IF(I593&lt;10,"ультра-НЧ",IF(I593&lt;100,"НЧ",IF(I593&lt;=1000,"СЧ","ВЧ"))),"нет данных"))</f>
        <v>нет данных</v>
      </c>
      <c r="L593" s="12" t="str">
        <f aca="false">IF(AND(ISNUMBER(G593),G593&gt;0,ISNUMBER(I593)),I593/G593,"")</f>
        <v/>
      </c>
      <c r="M593" s="10" t="s">
        <v>94</v>
      </c>
      <c r="N593" s="10" t="s">
        <v>871</v>
      </c>
      <c r="O593" s="10"/>
    </row>
    <row r="594" customFormat="false" ht="15" hidden="false" customHeight="false" outlineLevel="0" collapsed="false">
      <c r="A594" s="10" t="n">
        <v>593</v>
      </c>
      <c r="B594" s="10" t="s">
        <v>872</v>
      </c>
      <c r="C594" s="10" t="s">
        <v>822</v>
      </c>
      <c r="D594" s="10" t="s">
        <v>823</v>
      </c>
      <c r="E594" s="10" t="s">
        <v>824</v>
      </c>
      <c r="F594" s="10" t="s">
        <v>136</v>
      </c>
      <c r="G594" s="11" t="n">
        <v>25</v>
      </c>
      <c r="H594" s="11"/>
      <c r="I594" s="11"/>
      <c r="J594" s="11"/>
      <c r="K594" s="10" t="str">
        <f aca="false">IF(ISNUMBER(J594),IF(J594&lt;10,"ультра-НЧ",IF(J594&lt;100,"НЧ",IF(J594&lt;=1000,"СЧ","ВЧ"))),IF(ISNUMBER(I594),IF(I594&lt;10,"ультра-НЧ",IF(I594&lt;100,"НЧ",IF(I594&lt;=1000,"СЧ","ВЧ"))),"нет данных"))</f>
        <v>нет данных</v>
      </c>
      <c r="L594" s="12" t="str">
        <f aca="false">IF(AND(ISNUMBER(G594),G594&gt;0,ISNUMBER(I594)),I594/G594,"")</f>
        <v/>
      </c>
      <c r="M594" s="10" t="s">
        <v>94</v>
      </c>
      <c r="N594" s="10" t="s">
        <v>873</v>
      </c>
      <c r="O594" s="10"/>
    </row>
    <row r="595" customFormat="false" ht="15" hidden="false" customHeight="false" outlineLevel="0" collapsed="false">
      <c r="A595" s="10" t="n">
        <v>594</v>
      </c>
      <c r="B595" s="10" t="s">
        <v>874</v>
      </c>
      <c r="C595" s="10" t="s">
        <v>822</v>
      </c>
      <c r="D595" s="10" t="s">
        <v>823</v>
      </c>
      <c r="E595" s="10" t="s">
        <v>824</v>
      </c>
      <c r="F595" s="10" t="s">
        <v>136</v>
      </c>
      <c r="G595" s="11" t="n">
        <v>24</v>
      </c>
      <c r="H595" s="11"/>
      <c r="I595" s="11"/>
      <c r="J595" s="11"/>
      <c r="K595" s="10" t="str">
        <f aca="false">IF(ISNUMBER(J595),IF(J595&lt;10,"ультра-НЧ",IF(J595&lt;100,"НЧ",IF(J595&lt;=1000,"СЧ","ВЧ"))),IF(ISNUMBER(I595),IF(I595&lt;10,"ультра-НЧ",IF(I595&lt;100,"НЧ",IF(I595&lt;=1000,"СЧ","ВЧ"))),"нет данных"))</f>
        <v>нет данных</v>
      </c>
      <c r="L595" s="12" t="str">
        <f aca="false">IF(AND(ISNUMBER(G595),G595&gt;0,ISNUMBER(I595)),I595/G595,"")</f>
        <v/>
      </c>
      <c r="M595" s="10" t="s">
        <v>94</v>
      </c>
      <c r="N595" s="10" t="s">
        <v>875</v>
      </c>
      <c r="O595" s="10"/>
    </row>
    <row r="596" customFormat="false" ht="15" hidden="false" customHeight="false" outlineLevel="0" collapsed="false">
      <c r="A596" s="10" t="n">
        <v>595</v>
      </c>
      <c r="B596" s="10" t="s">
        <v>876</v>
      </c>
      <c r="C596" s="10" t="s">
        <v>822</v>
      </c>
      <c r="D596" s="10" t="s">
        <v>823</v>
      </c>
      <c r="E596" s="10" t="s">
        <v>824</v>
      </c>
      <c r="F596" s="10" t="s">
        <v>136</v>
      </c>
      <c r="G596" s="11" t="n">
        <v>23</v>
      </c>
      <c r="H596" s="11"/>
      <c r="I596" s="11"/>
      <c r="J596" s="11"/>
      <c r="K596" s="10" t="str">
        <f aca="false">IF(ISNUMBER(J596),IF(J596&lt;10,"ультра-НЧ",IF(J596&lt;100,"НЧ",IF(J596&lt;=1000,"СЧ","ВЧ"))),IF(ISNUMBER(I596),IF(I596&lt;10,"ультра-НЧ",IF(I596&lt;100,"НЧ",IF(I596&lt;=1000,"СЧ","ВЧ"))),"нет данных"))</f>
        <v>нет данных</v>
      </c>
      <c r="L596" s="12" t="str">
        <f aca="false">IF(AND(ISNUMBER(G596),G596&gt;0,ISNUMBER(I596)),I596/G596,"")</f>
        <v/>
      </c>
      <c r="M596" s="10" t="s">
        <v>94</v>
      </c>
      <c r="N596" s="10" t="s">
        <v>876</v>
      </c>
      <c r="O596" s="10"/>
    </row>
    <row r="597" customFormat="false" ht="15" hidden="false" customHeight="false" outlineLevel="0" collapsed="false">
      <c r="A597" s="10" t="n">
        <v>596</v>
      </c>
      <c r="B597" s="10" t="s">
        <v>877</v>
      </c>
      <c r="C597" s="10" t="s">
        <v>822</v>
      </c>
      <c r="D597" s="10" t="s">
        <v>823</v>
      </c>
      <c r="E597" s="10" t="s">
        <v>824</v>
      </c>
      <c r="F597" s="10" t="s">
        <v>136</v>
      </c>
      <c r="G597" s="11" t="n">
        <v>23</v>
      </c>
      <c r="H597" s="11"/>
      <c r="I597" s="11"/>
      <c r="J597" s="11"/>
      <c r="K597" s="10" t="str">
        <f aca="false">IF(ISNUMBER(J597),IF(J597&lt;10,"ультра-НЧ",IF(J597&lt;100,"НЧ",IF(J597&lt;=1000,"СЧ","ВЧ"))),IF(ISNUMBER(I597),IF(I597&lt;10,"ультра-НЧ",IF(I597&lt;100,"НЧ",IF(I597&lt;=1000,"СЧ","ВЧ"))),"нет данных"))</f>
        <v>нет данных</v>
      </c>
      <c r="L597" s="12" t="str">
        <f aca="false">IF(AND(ISNUMBER(G597),G597&gt;0,ISNUMBER(I597)),I597/G597,"")</f>
        <v/>
      </c>
      <c r="M597" s="10" t="s">
        <v>94</v>
      </c>
      <c r="N597" s="10" t="s">
        <v>877</v>
      </c>
      <c r="O597" s="10"/>
    </row>
    <row r="598" customFormat="false" ht="15" hidden="false" customHeight="false" outlineLevel="0" collapsed="false">
      <c r="A598" s="10" t="n">
        <v>597</v>
      </c>
      <c r="B598" s="10" t="s">
        <v>878</v>
      </c>
      <c r="C598" s="10" t="s">
        <v>822</v>
      </c>
      <c r="D598" s="10" t="s">
        <v>823</v>
      </c>
      <c r="E598" s="10" t="s">
        <v>824</v>
      </c>
      <c r="F598" s="10" t="s">
        <v>136</v>
      </c>
      <c r="G598" s="11" t="n">
        <v>23</v>
      </c>
      <c r="H598" s="11"/>
      <c r="I598" s="11"/>
      <c r="J598" s="11"/>
      <c r="K598" s="10" t="str">
        <f aca="false">IF(ISNUMBER(J598),IF(J598&lt;10,"ультра-НЧ",IF(J598&lt;100,"НЧ",IF(J598&lt;=1000,"СЧ","ВЧ"))),IF(ISNUMBER(I598),IF(I598&lt;10,"ультра-НЧ",IF(I598&lt;100,"НЧ",IF(I598&lt;=1000,"СЧ","ВЧ"))),"нет данных"))</f>
        <v>нет данных</v>
      </c>
      <c r="L598" s="12" t="str">
        <f aca="false">IF(AND(ISNUMBER(G598),G598&gt;0,ISNUMBER(I598)),I598/G598,"")</f>
        <v/>
      </c>
      <c r="M598" s="10" t="s">
        <v>94</v>
      </c>
      <c r="N598" s="10" t="s">
        <v>878</v>
      </c>
      <c r="O598" s="10"/>
    </row>
    <row r="599" customFormat="false" ht="15" hidden="false" customHeight="false" outlineLevel="0" collapsed="false">
      <c r="A599" s="10" t="n">
        <v>598</v>
      </c>
      <c r="B599" s="10" t="s">
        <v>879</v>
      </c>
      <c r="C599" s="10" t="s">
        <v>822</v>
      </c>
      <c r="D599" s="10" t="s">
        <v>823</v>
      </c>
      <c r="E599" s="10" t="s">
        <v>824</v>
      </c>
      <c r="F599" s="10" t="s">
        <v>136</v>
      </c>
      <c r="G599" s="11" t="n">
        <v>23</v>
      </c>
      <c r="H599" s="11"/>
      <c r="I599" s="11"/>
      <c r="J599" s="11"/>
      <c r="K599" s="10" t="str">
        <f aca="false">IF(ISNUMBER(J599),IF(J599&lt;10,"ультра-НЧ",IF(J599&lt;100,"НЧ",IF(J599&lt;=1000,"СЧ","ВЧ"))),IF(ISNUMBER(I599),IF(I599&lt;10,"ультра-НЧ",IF(I599&lt;100,"НЧ",IF(I599&lt;=1000,"СЧ","ВЧ"))),"нет данных"))</f>
        <v>нет данных</v>
      </c>
      <c r="L599" s="12" t="str">
        <f aca="false">IF(AND(ISNUMBER(G599),G599&gt;0,ISNUMBER(I599)),I599/G599,"")</f>
        <v/>
      </c>
      <c r="M599" s="10" t="s">
        <v>94</v>
      </c>
      <c r="N599" s="10" t="s">
        <v>879</v>
      </c>
      <c r="O599" s="10"/>
    </row>
    <row r="600" customFormat="false" ht="15" hidden="false" customHeight="false" outlineLevel="0" collapsed="false">
      <c r="A600" s="10" t="n">
        <v>599</v>
      </c>
      <c r="B600" s="10" t="s">
        <v>880</v>
      </c>
      <c r="C600" s="10" t="s">
        <v>822</v>
      </c>
      <c r="D600" s="10" t="s">
        <v>823</v>
      </c>
      <c r="E600" s="10" t="s">
        <v>824</v>
      </c>
      <c r="F600" s="10" t="s">
        <v>136</v>
      </c>
      <c r="G600" s="11" t="n">
        <v>22</v>
      </c>
      <c r="H600" s="11"/>
      <c r="I600" s="11"/>
      <c r="J600" s="11"/>
      <c r="K600" s="10" t="str">
        <f aca="false">IF(ISNUMBER(J600),IF(J600&lt;10,"ультра-НЧ",IF(J600&lt;100,"НЧ",IF(J600&lt;=1000,"СЧ","ВЧ"))),IF(ISNUMBER(I600),IF(I600&lt;10,"ультра-НЧ",IF(I600&lt;100,"НЧ",IF(I600&lt;=1000,"СЧ","ВЧ"))),"нет данных"))</f>
        <v>нет данных</v>
      </c>
      <c r="L600" s="12" t="str">
        <f aca="false">IF(AND(ISNUMBER(G600),G600&gt;0,ISNUMBER(I600)),I600/G600,"")</f>
        <v/>
      </c>
      <c r="M600" s="10" t="s">
        <v>94</v>
      </c>
      <c r="N600" s="10" t="s">
        <v>881</v>
      </c>
      <c r="O600" s="10"/>
    </row>
    <row r="601" customFormat="false" ht="15" hidden="false" customHeight="false" outlineLevel="0" collapsed="false">
      <c r="A601" s="10" t="n">
        <v>600</v>
      </c>
      <c r="B601" s="10" t="s">
        <v>882</v>
      </c>
      <c r="C601" s="10" t="s">
        <v>822</v>
      </c>
      <c r="D601" s="10" t="s">
        <v>823</v>
      </c>
      <c r="E601" s="10" t="s">
        <v>824</v>
      </c>
      <c r="F601" s="10" t="s">
        <v>136</v>
      </c>
      <c r="G601" s="11" t="n">
        <v>22</v>
      </c>
      <c r="H601" s="11"/>
      <c r="I601" s="11"/>
      <c r="J601" s="11"/>
      <c r="K601" s="10" t="str">
        <f aca="false">IF(ISNUMBER(J601),IF(J601&lt;10,"ультра-НЧ",IF(J601&lt;100,"НЧ",IF(J601&lt;=1000,"СЧ","ВЧ"))),IF(ISNUMBER(I601),IF(I601&lt;10,"ультра-НЧ",IF(I601&lt;100,"НЧ",IF(I601&lt;=1000,"СЧ","ВЧ"))),"нет данных"))</f>
        <v>нет данных</v>
      </c>
      <c r="L601" s="12" t="str">
        <f aca="false">IF(AND(ISNUMBER(G601),G601&gt;0,ISNUMBER(I601)),I601/G601,"")</f>
        <v/>
      </c>
      <c r="M601" s="10" t="s">
        <v>94</v>
      </c>
      <c r="N601" s="10" t="s">
        <v>882</v>
      </c>
      <c r="O601" s="10"/>
    </row>
    <row r="602" customFormat="false" ht="15" hidden="false" customHeight="false" outlineLevel="0" collapsed="false">
      <c r="A602" s="10" t="n">
        <v>601</v>
      </c>
      <c r="B602" s="10" t="s">
        <v>883</v>
      </c>
      <c r="C602" s="10" t="s">
        <v>822</v>
      </c>
      <c r="D602" s="10" t="s">
        <v>823</v>
      </c>
      <c r="E602" s="10" t="s">
        <v>824</v>
      </c>
      <c r="F602" s="10" t="s">
        <v>136</v>
      </c>
      <c r="G602" s="11" t="n">
        <v>20</v>
      </c>
      <c r="H602" s="11"/>
      <c r="I602" s="11"/>
      <c r="J602" s="11"/>
      <c r="K602" s="10" t="str">
        <f aca="false">IF(ISNUMBER(J602),IF(J602&lt;10,"ультра-НЧ",IF(J602&lt;100,"НЧ",IF(J602&lt;=1000,"СЧ","ВЧ"))),IF(ISNUMBER(I602),IF(I602&lt;10,"ультра-НЧ",IF(I602&lt;100,"НЧ",IF(I602&lt;=1000,"СЧ","ВЧ"))),"нет данных"))</f>
        <v>нет данных</v>
      </c>
      <c r="L602" s="12" t="str">
        <f aca="false">IF(AND(ISNUMBER(G602),G602&gt;0,ISNUMBER(I602)),I602/G602,"")</f>
        <v/>
      </c>
      <c r="M602" s="10" t="s">
        <v>94</v>
      </c>
      <c r="N602" s="10" t="s">
        <v>884</v>
      </c>
      <c r="O602" s="10"/>
    </row>
    <row r="603" customFormat="false" ht="15" hidden="false" customHeight="false" outlineLevel="0" collapsed="false">
      <c r="A603" s="10" t="n">
        <v>602</v>
      </c>
      <c r="B603" s="10" t="s">
        <v>885</v>
      </c>
      <c r="C603" s="10" t="s">
        <v>822</v>
      </c>
      <c r="D603" s="10" t="s">
        <v>823</v>
      </c>
      <c r="E603" s="10" t="s">
        <v>824</v>
      </c>
      <c r="F603" s="10" t="s">
        <v>136</v>
      </c>
      <c r="G603" s="11" t="n">
        <v>20</v>
      </c>
      <c r="H603" s="11"/>
      <c r="I603" s="11"/>
      <c r="J603" s="11"/>
      <c r="K603" s="10" t="str">
        <f aca="false">IF(ISNUMBER(J603),IF(J603&lt;10,"ультра-НЧ",IF(J603&lt;100,"НЧ",IF(J603&lt;=1000,"СЧ","ВЧ"))),IF(ISNUMBER(I603),IF(I603&lt;10,"ультра-НЧ",IF(I603&lt;100,"НЧ",IF(I603&lt;=1000,"СЧ","ВЧ"))),"нет данных"))</f>
        <v>нет данных</v>
      </c>
      <c r="L603" s="12" t="str">
        <f aca="false">IF(AND(ISNUMBER(G603),G603&gt;0,ISNUMBER(I603)),I603/G603,"")</f>
        <v/>
      </c>
      <c r="M603" s="10" t="s">
        <v>94</v>
      </c>
      <c r="N603" s="10" t="s">
        <v>885</v>
      </c>
      <c r="O603" s="10"/>
    </row>
    <row r="604" customFormat="false" ht="15" hidden="false" customHeight="false" outlineLevel="0" collapsed="false">
      <c r="A604" s="10" t="n">
        <v>603</v>
      </c>
      <c r="B604" s="10" t="s">
        <v>886</v>
      </c>
      <c r="C604" s="10" t="s">
        <v>822</v>
      </c>
      <c r="D604" s="10" t="s">
        <v>823</v>
      </c>
      <c r="E604" s="10" t="s">
        <v>824</v>
      </c>
      <c r="F604" s="10" t="s">
        <v>136</v>
      </c>
      <c r="G604" s="11"/>
      <c r="H604" s="11"/>
      <c r="I604" s="11" t="n">
        <v>14</v>
      </c>
      <c r="J604" s="11"/>
      <c r="K604" s="10" t="str">
        <f aca="false">IF(ISNUMBER(J604),IF(J604&lt;10,"ультра-НЧ",IF(J604&lt;100,"НЧ",IF(J604&lt;=1000,"СЧ","ВЧ"))),IF(ISNUMBER(I604),IF(I604&lt;10,"ультра-НЧ",IF(I604&lt;100,"НЧ",IF(I604&lt;=1000,"СЧ","ВЧ"))),"нет данных"))</f>
        <v>НЧ</v>
      </c>
      <c r="L604" s="12" t="str">
        <f aca="false">IF(AND(ISNUMBER(G604),G604&gt;0,ISNUMBER(I604)),I604/G604,"")</f>
        <v/>
      </c>
      <c r="M604" s="10" t="s">
        <v>112</v>
      </c>
      <c r="N604" s="10" t="s">
        <v>886</v>
      </c>
      <c r="O604" s="10"/>
    </row>
    <row r="605" customFormat="false" ht="15" hidden="false" customHeight="false" outlineLevel="0" collapsed="false">
      <c r="A605" s="10" t="n">
        <v>604</v>
      </c>
      <c r="B605" s="10" t="s">
        <v>887</v>
      </c>
      <c r="C605" s="10" t="s">
        <v>822</v>
      </c>
      <c r="D605" s="10" t="s">
        <v>823</v>
      </c>
      <c r="E605" s="10" t="s">
        <v>824</v>
      </c>
      <c r="F605" s="10" t="s">
        <v>136</v>
      </c>
      <c r="G605" s="11" t="n">
        <v>262</v>
      </c>
      <c r="H605" s="11"/>
      <c r="I605" s="11" t="n">
        <v>5</v>
      </c>
      <c r="J605" s="11"/>
      <c r="K605" s="10" t="str">
        <f aca="false">IF(ISNUMBER(J605),IF(J605&lt;10,"ультра-НЧ",IF(J605&lt;100,"НЧ",IF(J605&lt;=1000,"СЧ","ВЧ"))),IF(ISNUMBER(I605),IF(I605&lt;10,"ультра-НЧ",IF(I605&lt;100,"НЧ",IF(I605&lt;=1000,"СЧ","ВЧ"))),"нет данных"))</f>
        <v>ультра-НЧ</v>
      </c>
      <c r="L605" s="12" t="n">
        <f aca="false">IF(AND(ISNUMBER(G605),G605&gt;0,ISNUMBER(I605)),I605/G605,"")</f>
        <v>0.0190839694656489</v>
      </c>
      <c r="M605" s="10" t="s">
        <v>112</v>
      </c>
      <c r="N605" s="10" t="s">
        <v>887</v>
      </c>
      <c r="O605" s="10"/>
    </row>
    <row r="606" customFormat="false" ht="15" hidden="false" customHeight="false" outlineLevel="0" collapsed="false">
      <c r="A606" s="10" t="n">
        <v>605</v>
      </c>
      <c r="B606" s="10" t="s">
        <v>888</v>
      </c>
      <c r="C606" s="10" t="s">
        <v>822</v>
      </c>
      <c r="D606" s="10" t="s">
        <v>823</v>
      </c>
      <c r="E606" s="10" t="s">
        <v>824</v>
      </c>
      <c r="F606" s="10" t="s">
        <v>136</v>
      </c>
      <c r="G606" s="11" t="n">
        <v>173</v>
      </c>
      <c r="H606" s="11"/>
      <c r="I606" s="11" t="n">
        <v>5</v>
      </c>
      <c r="J606" s="11"/>
      <c r="K606" s="10" t="str">
        <f aca="false">IF(ISNUMBER(J606),IF(J606&lt;10,"ультра-НЧ",IF(J606&lt;100,"НЧ",IF(J606&lt;=1000,"СЧ","ВЧ"))),IF(ISNUMBER(I606),IF(I606&lt;10,"ультра-НЧ",IF(I606&lt;100,"НЧ",IF(I606&lt;=1000,"СЧ","ВЧ"))),"нет данных"))</f>
        <v>ультра-НЧ</v>
      </c>
      <c r="L606" s="12" t="n">
        <f aca="false">IF(AND(ISNUMBER(G606),G606&gt;0,ISNUMBER(I606)),I606/G606,"")</f>
        <v>0.0289017341040462</v>
      </c>
      <c r="M606" s="10" t="s">
        <v>112</v>
      </c>
      <c r="N606" s="10" t="s">
        <v>889</v>
      </c>
      <c r="O606" s="10"/>
    </row>
    <row r="607" customFormat="false" ht="15" hidden="false" customHeight="false" outlineLevel="0" collapsed="false">
      <c r="A607" s="10" t="n">
        <v>606</v>
      </c>
      <c r="B607" s="10" t="s">
        <v>890</v>
      </c>
      <c r="C607" s="10" t="s">
        <v>822</v>
      </c>
      <c r="D607" s="10" t="s">
        <v>823</v>
      </c>
      <c r="E607" s="10" t="s">
        <v>824</v>
      </c>
      <c r="F607" s="10" t="s">
        <v>136</v>
      </c>
      <c r="G607" s="11" t="n">
        <v>56</v>
      </c>
      <c r="H607" s="11"/>
      <c r="I607" s="11" t="n">
        <v>4</v>
      </c>
      <c r="J607" s="11"/>
      <c r="K607" s="10" t="str">
        <f aca="false">IF(ISNUMBER(J607),IF(J607&lt;10,"ультра-НЧ",IF(J607&lt;100,"НЧ",IF(J607&lt;=1000,"СЧ","ВЧ"))),IF(ISNUMBER(I607),IF(I607&lt;10,"ультра-НЧ",IF(I607&lt;100,"НЧ",IF(I607&lt;=1000,"СЧ","ВЧ"))),"нет данных"))</f>
        <v>ультра-НЧ</v>
      </c>
      <c r="L607" s="12" t="n">
        <f aca="false">IF(AND(ISNUMBER(G607),G607&gt;0,ISNUMBER(I607)),I607/G607,"")</f>
        <v>0.0714285714285714</v>
      </c>
      <c r="M607" s="10" t="s">
        <v>112</v>
      </c>
      <c r="N607" s="10" t="s">
        <v>891</v>
      </c>
      <c r="O607" s="10"/>
    </row>
    <row r="608" customFormat="false" ht="15" hidden="false" customHeight="false" outlineLevel="0" collapsed="false">
      <c r="A608" s="10" t="n">
        <v>607</v>
      </c>
      <c r="B608" s="10" t="s">
        <v>892</v>
      </c>
      <c r="C608" s="10" t="s">
        <v>822</v>
      </c>
      <c r="D608" s="10" t="s">
        <v>823</v>
      </c>
      <c r="E608" s="10" t="s">
        <v>824</v>
      </c>
      <c r="F608" s="10" t="s">
        <v>136</v>
      </c>
      <c r="G608" s="11" t="n">
        <v>42</v>
      </c>
      <c r="H608" s="11"/>
      <c r="I608" s="11" t="n">
        <v>4</v>
      </c>
      <c r="J608" s="11"/>
      <c r="K608" s="10" t="str">
        <f aca="false">IF(ISNUMBER(J608),IF(J608&lt;10,"ультра-НЧ",IF(J608&lt;100,"НЧ",IF(J608&lt;=1000,"СЧ","ВЧ"))),IF(ISNUMBER(I608),IF(I608&lt;10,"ультра-НЧ",IF(I608&lt;100,"НЧ",IF(I608&lt;=1000,"СЧ","ВЧ"))),"нет данных"))</f>
        <v>ультра-НЧ</v>
      </c>
      <c r="L608" s="12" t="n">
        <f aca="false">IF(AND(ISNUMBER(G608),G608&gt;0,ISNUMBER(I608)),I608/G608,"")</f>
        <v>0.0952380952380952</v>
      </c>
      <c r="M608" s="10" t="s">
        <v>112</v>
      </c>
      <c r="N608" s="10" t="s">
        <v>893</v>
      </c>
      <c r="O608" s="10"/>
    </row>
    <row r="609" customFormat="false" ht="15" hidden="false" customHeight="false" outlineLevel="0" collapsed="false">
      <c r="A609" s="10" t="n">
        <v>608</v>
      </c>
      <c r="B609" s="10" t="s">
        <v>894</v>
      </c>
      <c r="C609" s="10" t="s">
        <v>822</v>
      </c>
      <c r="D609" s="10" t="s">
        <v>823</v>
      </c>
      <c r="E609" s="10" t="s">
        <v>824</v>
      </c>
      <c r="F609" s="10" t="s">
        <v>136</v>
      </c>
      <c r="G609" s="11" t="n">
        <v>34</v>
      </c>
      <c r="H609" s="11"/>
      <c r="I609" s="11" t="n">
        <v>4</v>
      </c>
      <c r="J609" s="11"/>
      <c r="K609" s="10" t="str">
        <f aca="false">IF(ISNUMBER(J609),IF(J609&lt;10,"ультра-НЧ",IF(J609&lt;100,"НЧ",IF(J609&lt;=1000,"СЧ","ВЧ"))),IF(ISNUMBER(I609),IF(I609&lt;10,"ультра-НЧ",IF(I609&lt;100,"НЧ",IF(I609&lt;=1000,"СЧ","ВЧ"))),"нет данных"))</f>
        <v>ультра-НЧ</v>
      </c>
      <c r="L609" s="12" t="n">
        <f aca="false">IF(AND(ISNUMBER(G609),G609&gt;0,ISNUMBER(I609)),I609/G609,"")</f>
        <v>0.117647058823529</v>
      </c>
      <c r="M609" s="10" t="s">
        <v>112</v>
      </c>
      <c r="N609" s="10" t="s">
        <v>895</v>
      </c>
      <c r="O609" s="10"/>
    </row>
    <row r="610" customFormat="false" ht="15" hidden="false" customHeight="false" outlineLevel="0" collapsed="false">
      <c r="A610" s="10" t="n">
        <v>609</v>
      </c>
      <c r="B610" s="10" t="s">
        <v>896</v>
      </c>
      <c r="C610" s="10" t="s">
        <v>822</v>
      </c>
      <c r="D610" s="10" t="s">
        <v>823</v>
      </c>
      <c r="E610" s="10" t="s">
        <v>824</v>
      </c>
      <c r="F610" s="10" t="s">
        <v>136</v>
      </c>
      <c r="G610" s="11" t="n">
        <v>57</v>
      </c>
      <c r="H610" s="11"/>
      <c r="I610" s="11" t="n">
        <v>3</v>
      </c>
      <c r="J610" s="11"/>
      <c r="K610" s="10" t="str">
        <f aca="false">IF(ISNUMBER(J610),IF(J610&lt;10,"ультра-НЧ",IF(J610&lt;100,"НЧ",IF(J610&lt;=1000,"СЧ","ВЧ"))),IF(ISNUMBER(I610),IF(I610&lt;10,"ультра-НЧ",IF(I610&lt;100,"НЧ",IF(I610&lt;=1000,"СЧ","ВЧ"))),"нет данных"))</f>
        <v>ультра-НЧ</v>
      </c>
      <c r="L610" s="12" t="n">
        <f aca="false">IF(AND(ISNUMBER(G610),G610&gt;0,ISNUMBER(I610)),I610/G610,"")</f>
        <v>0.0526315789473684</v>
      </c>
      <c r="M610" s="10" t="s">
        <v>112</v>
      </c>
      <c r="N610" s="10" t="s">
        <v>896</v>
      </c>
      <c r="O610" s="10"/>
    </row>
    <row r="611" customFormat="false" ht="15" hidden="false" customHeight="false" outlineLevel="0" collapsed="false">
      <c r="A611" s="10" t="n">
        <v>610</v>
      </c>
      <c r="B611" s="10" t="s">
        <v>897</v>
      </c>
      <c r="C611" s="10" t="s">
        <v>822</v>
      </c>
      <c r="D611" s="10" t="s">
        <v>823</v>
      </c>
      <c r="E611" s="10" t="s">
        <v>824</v>
      </c>
      <c r="F611" s="10" t="s">
        <v>136</v>
      </c>
      <c r="G611" s="11" t="n">
        <v>116</v>
      </c>
      <c r="H611" s="11"/>
      <c r="I611" s="11" t="n">
        <v>2</v>
      </c>
      <c r="J611" s="11"/>
      <c r="K611" s="10" t="str">
        <f aca="false">IF(ISNUMBER(J611),IF(J611&lt;10,"ультра-НЧ",IF(J611&lt;100,"НЧ",IF(J611&lt;=1000,"СЧ","ВЧ"))),IF(ISNUMBER(I611),IF(I611&lt;10,"ультра-НЧ",IF(I611&lt;100,"НЧ",IF(I611&lt;=1000,"СЧ","ВЧ"))),"нет данных"))</f>
        <v>ультра-НЧ</v>
      </c>
      <c r="L611" s="12" t="n">
        <f aca="false">IF(AND(ISNUMBER(G611),G611&gt;0,ISNUMBER(I611)),I611/G611,"")</f>
        <v>0.0172413793103448</v>
      </c>
      <c r="M611" s="10" t="s">
        <v>112</v>
      </c>
      <c r="N611" s="10" t="s">
        <v>898</v>
      </c>
      <c r="O611" s="10"/>
    </row>
    <row r="612" customFormat="false" ht="15" hidden="false" customHeight="false" outlineLevel="0" collapsed="false">
      <c r="A612" s="10" t="n">
        <v>611</v>
      </c>
      <c r="B612" s="10" t="s">
        <v>899</v>
      </c>
      <c r="C612" s="10" t="s">
        <v>822</v>
      </c>
      <c r="D612" s="10" t="s">
        <v>823</v>
      </c>
      <c r="E612" s="10" t="s">
        <v>824</v>
      </c>
      <c r="F612" s="10" t="s">
        <v>136</v>
      </c>
      <c r="G612" s="11" t="n">
        <v>67</v>
      </c>
      <c r="H612" s="11"/>
      <c r="I612" s="11" t="n">
        <v>2</v>
      </c>
      <c r="J612" s="11"/>
      <c r="K612" s="10" t="str">
        <f aca="false">IF(ISNUMBER(J612),IF(J612&lt;10,"ультра-НЧ",IF(J612&lt;100,"НЧ",IF(J612&lt;=1000,"СЧ","ВЧ"))),IF(ISNUMBER(I612),IF(I612&lt;10,"ультра-НЧ",IF(I612&lt;100,"НЧ",IF(I612&lt;=1000,"СЧ","ВЧ"))),"нет данных"))</f>
        <v>ультра-НЧ</v>
      </c>
      <c r="L612" s="12" t="n">
        <f aca="false">IF(AND(ISNUMBER(G612),G612&gt;0,ISNUMBER(I612)),I612/G612,"")</f>
        <v>0.0298507462686567</v>
      </c>
      <c r="M612" s="10" t="s">
        <v>94</v>
      </c>
      <c r="N612" s="10" t="s">
        <v>899</v>
      </c>
      <c r="O612" s="10"/>
    </row>
    <row r="613" customFormat="false" ht="15" hidden="false" customHeight="false" outlineLevel="0" collapsed="false">
      <c r="A613" s="10" t="n">
        <v>612</v>
      </c>
      <c r="B613" s="10" t="s">
        <v>900</v>
      </c>
      <c r="C613" s="10" t="s">
        <v>822</v>
      </c>
      <c r="D613" s="10" t="s">
        <v>823</v>
      </c>
      <c r="E613" s="10" t="s">
        <v>824</v>
      </c>
      <c r="F613" s="10" t="s">
        <v>136</v>
      </c>
      <c r="G613" s="11" t="n">
        <v>22</v>
      </c>
      <c r="H613" s="11"/>
      <c r="I613" s="11" t="n">
        <v>2</v>
      </c>
      <c r="J613" s="11"/>
      <c r="K613" s="10" t="str">
        <f aca="false">IF(ISNUMBER(J613),IF(J613&lt;10,"ультра-НЧ",IF(J613&lt;100,"НЧ",IF(J613&lt;=1000,"СЧ","ВЧ"))),IF(ISNUMBER(I613),IF(I613&lt;10,"ультра-НЧ",IF(I613&lt;100,"НЧ",IF(I613&lt;=1000,"СЧ","ВЧ"))),"нет данных"))</f>
        <v>ультра-НЧ</v>
      </c>
      <c r="L613" s="12" t="n">
        <f aca="false">IF(AND(ISNUMBER(G613),G613&gt;0,ISNUMBER(I613)),I613/G613,"")</f>
        <v>0.0909090909090909</v>
      </c>
      <c r="M613" s="10" t="s">
        <v>94</v>
      </c>
      <c r="N613" s="10" t="s">
        <v>900</v>
      </c>
      <c r="O613" s="10"/>
    </row>
    <row r="614" customFormat="false" ht="15" hidden="false" customHeight="false" outlineLevel="0" collapsed="false">
      <c r="A614" s="10" t="n">
        <v>613</v>
      </c>
      <c r="B614" s="10" t="s">
        <v>901</v>
      </c>
      <c r="C614" s="10" t="s">
        <v>822</v>
      </c>
      <c r="D614" s="10" t="s">
        <v>823</v>
      </c>
      <c r="E614" s="10" t="s">
        <v>824</v>
      </c>
      <c r="F614" s="10" t="s">
        <v>136</v>
      </c>
      <c r="G614" s="11" t="n">
        <v>67</v>
      </c>
      <c r="H614" s="11"/>
      <c r="I614" s="11" t="n">
        <v>1</v>
      </c>
      <c r="J614" s="11"/>
      <c r="K614" s="10" t="str">
        <f aca="false">IF(ISNUMBER(J614),IF(J614&lt;10,"ультра-НЧ",IF(J614&lt;100,"НЧ",IF(J614&lt;=1000,"СЧ","ВЧ"))),IF(ISNUMBER(I614),IF(I614&lt;10,"ультра-НЧ",IF(I614&lt;100,"НЧ",IF(I614&lt;=1000,"СЧ","ВЧ"))),"нет данных"))</f>
        <v>ультра-НЧ</v>
      </c>
      <c r="L614" s="12" t="n">
        <f aca="false">IF(AND(ISNUMBER(G614),G614&gt;0,ISNUMBER(I614)),I614/G614,"")</f>
        <v>0.0149253731343284</v>
      </c>
      <c r="M614" s="10" t="s">
        <v>94</v>
      </c>
      <c r="N614" s="10" t="s">
        <v>901</v>
      </c>
      <c r="O614" s="10"/>
    </row>
    <row r="615" customFormat="false" ht="15" hidden="false" customHeight="false" outlineLevel="0" collapsed="false">
      <c r="A615" s="10" t="n">
        <v>614</v>
      </c>
      <c r="B615" s="10" t="s">
        <v>902</v>
      </c>
      <c r="C615" s="10" t="s">
        <v>822</v>
      </c>
      <c r="D615" s="10" t="s">
        <v>823</v>
      </c>
      <c r="E615" s="10" t="s">
        <v>824</v>
      </c>
      <c r="F615" s="10" t="s">
        <v>136</v>
      </c>
      <c r="G615" s="11" t="n">
        <v>43</v>
      </c>
      <c r="H615" s="11"/>
      <c r="I615" s="11" t="n">
        <v>1</v>
      </c>
      <c r="J615" s="11"/>
      <c r="K615" s="10" t="str">
        <f aca="false">IF(ISNUMBER(J615),IF(J615&lt;10,"ультра-НЧ",IF(J615&lt;100,"НЧ",IF(J615&lt;=1000,"СЧ","ВЧ"))),IF(ISNUMBER(I615),IF(I615&lt;10,"ультра-НЧ",IF(I615&lt;100,"НЧ",IF(I615&lt;=1000,"СЧ","ВЧ"))),"нет данных"))</f>
        <v>ультра-НЧ</v>
      </c>
      <c r="L615" s="12" t="n">
        <f aca="false">IF(AND(ISNUMBER(G615),G615&gt;0,ISNUMBER(I615)),I615/G615,"")</f>
        <v>0.0232558139534884</v>
      </c>
      <c r="M615" s="10" t="s">
        <v>94</v>
      </c>
      <c r="N615" s="10" t="s">
        <v>902</v>
      </c>
      <c r="O615" s="10"/>
    </row>
    <row r="616" customFormat="false" ht="15" hidden="false" customHeight="false" outlineLevel="0" collapsed="false">
      <c r="A616" s="10" t="n">
        <v>615</v>
      </c>
      <c r="B616" s="10" t="s">
        <v>903</v>
      </c>
      <c r="C616" s="10" t="s">
        <v>822</v>
      </c>
      <c r="D616" s="10" t="s">
        <v>823</v>
      </c>
      <c r="E616" s="10" t="s">
        <v>824</v>
      </c>
      <c r="F616" s="10" t="s">
        <v>136</v>
      </c>
      <c r="G616" s="11" t="n">
        <v>39</v>
      </c>
      <c r="H616" s="11"/>
      <c r="I616" s="11" t="n">
        <v>1</v>
      </c>
      <c r="J616" s="11"/>
      <c r="K616" s="10" t="str">
        <f aca="false">IF(ISNUMBER(J616),IF(J616&lt;10,"ультра-НЧ",IF(J616&lt;100,"НЧ",IF(J616&lt;=1000,"СЧ","ВЧ"))),IF(ISNUMBER(I616),IF(I616&lt;10,"ультра-НЧ",IF(I616&lt;100,"НЧ",IF(I616&lt;=1000,"СЧ","ВЧ"))),"нет данных"))</f>
        <v>ультра-НЧ</v>
      </c>
      <c r="L616" s="12" t="n">
        <f aca="false">IF(AND(ISNUMBER(G616),G616&gt;0,ISNUMBER(I616)),I616/G616,"")</f>
        <v>0.0256410256410256</v>
      </c>
      <c r="M616" s="10" t="s">
        <v>94</v>
      </c>
      <c r="N616" s="10" t="s">
        <v>903</v>
      </c>
      <c r="O616" s="10"/>
    </row>
    <row r="617" customFormat="false" ht="15" hidden="false" customHeight="false" outlineLevel="0" collapsed="false">
      <c r="A617" s="10" t="n">
        <v>616</v>
      </c>
      <c r="B617" s="10" t="s">
        <v>904</v>
      </c>
      <c r="C617" s="10" t="s">
        <v>822</v>
      </c>
      <c r="D617" s="10" t="s">
        <v>823</v>
      </c>
      <c r="E617" s="10" t="s">
        <v>824</v>
      </c>
      <c r="F617" s="10" t="s">
        <v>136</v>
      </c>
      <c r="G617" s="11" t="n">
        <v>37</v>
      </c>
      <c r="H617" s="11"/>
      <c r="I617" s="11" t="n">
        <v>1</v>
      </c>
      <c r="J617" s="11"/>
      <c r="K617" s="10" t="str">
        <f aca="false">IF(ISNUMBER(J617),IF(J617&lt;10,"ультра-НЧ",IF(J617&lt;100,"НЧ",IF(J617&lt;=1000,"СЧ","ВЧ"))),IF(ISNUMBER(I617),IF(I617&lt;10,"ультра-НЧ",IF(I617&lt;100,"НЧ",IF(I617&lt;=1000,"СЧ","ВЧ"))),"нет данных"))</f>
        <v>ультра-НЧ</v>
      </c>
      <c r="L617" s="12" t="n">
        <f aca="false">IF(AND(ISNUMBER(G617),G617&gt;0,ISNUMBER(I617)),I617/G617,"")</f>
        <v>0.027027027027027</v>
      </c>
      <c r="M617" s="10" t="s">
        <v>94</v>
      </c>
      <c r="N617" s="10" t="s">
        <v>904</v>
      </c>
      <c r="O617" s="10"/>
    </row>
    <row r="618" customFormat="false" ht="15" hidden="false" customHeight="false" outlineLevel="0" collapsed="false">
      <c r="A618" s="10" t="n">
        <v>617</v>
      </c>
      <c r="B618" s="10" t="s">
        <v>905</v>
      </c>
      <c r="C618" s="10" t="s">
        <v>822</v>
      </c>
      <c r="D618" s="10" t="s">
        <v>823</v>
      </c>
      <c r="E618" s="10" t="s">
        <v>824</v>
      </c>
      <c r="F618" s="10" t="s">
        <v>136</v>
      </c>
      <c r="G618" s="11" t="n">
        <v>20</v>
      </c>
      <c r="H618" s="11"/>
      <c r="I618" s="11" t="n">
        <v>1</v>
      </c>
      <c r="J618" s="11"/>
      <c r="K618" s="10" t="str">
        <f aca="false">IF(ISNUMBER(J618),IF(J618&lt;10,"ультра-НЧ",IF(J618&lt;100,"НЧ",IF(J618&lt;=1000,"СЧ","ВЧ"))),IF(ISNUMBER(I618),IF(I618&lt;10,"ультра-НЧ",IF(I618&lt;100,"НЧ",IF(I618&lt;=1000,"СЧ","ВЧ"))),"нет данных"))</f>
        <v>ультра-НЧ</v>
      </c>
      <c r="L618" s="12" t="n">
        <f aca="false">IF(AND(ISNUMBER(G618),G618&gt;0,ISNUMBER(I618)),I618/G618,"")</f>
        <v>0.05</v>
      </c>
      <c r="M618" s="10" t="s">
        <v>94</v>
      </c>
      <c r="N618" s="10" t="s">
        <v>905</v>
      </c>
      <c r="O618" s="10"/>
    </row>
    <row r="619" customFormat="false" ht="15" hidden="false" customHeight="false" outlineLevel="0" collapsed="false">
      <c r="A619" s="10" t="n">
        <v>618</v>
      </c>
      <c r="B619" s="10" t="s">
        <v>906</v>
      </c>
      <c r="C619" s="10" t="s">
        <v>907</v>
      </c>
      <c r="D619" s="10" t="s">
        <v>908</v>
      </c>
      <c r="E619" s="10" t="s">
        <v>824</v>
      </c>
      <c r="F619" s="10" t="s">
        <v>93</v>
      </c>
      <c r="G619" s="11" t="n">
        <v>148</v>
      </c>
      <c r="H619" s="11" t="n">
        <v>95</v>
      </c>
      <c r="I619" s="11" t="n">
        <v>136</v>
      </c>
      <c r="J619" s="11" t="n">
        <v>87</v>
      </c>
      <c r="K619" s="10" t="str">
        <f aca="false">IF(ISNUMBER(J619),IF(J619&lt;10,"ультра-НЧ",IF(J619&lt;100,"НЧ",IF(J619&lt;=1000,"СЧ","ВЧ"))),IF(ISNUMBER(I619),IF(I619&lt;10,"ультра-НЧ",IF(I619&lt;100,"НЧ",IF(I619&lt;=1000,"СЧ","ВЧ"))),"нет данных"))</f>
        <v>НЧ</v>
      </c>
      <c r="L619" s="12" t="n">
        <f aca="false">IF(AND(ISNUMBER(G619),G619&gt;0,ISNUMBER(I619)),I619/G619,"")</f>
        <v>0.918918918918919</v>
      </c>
      <c r="M619" s="10" t="s">
        <v>103</v>
      </c>
      <c r="N619" s="10" t="s">
        <v>909</v>
      </c>
      <c r="O619" s="10"/>
    </row>
    <row r="620" customFormat="false" ht="15" hidden="false" customHeight="false" outlineLevel="0" collapsed="false">
      <c r="A620" s="10" t="n">
        <v>619</v>
      </c>
      <c r="B620" s="10" t="s">
        <v>910</v>
      </c>
      <c r="C620" s="10" t="s">
        <v>907</v>
      </c>
      <c r="D620" s="10" t="s">
        <v>908</v>
      </c>
      <c r="E620" s="10" t="s">
        <v>824</v>
      </c>
      <c r="F620" s="10" t="s">
        <v>93</v>
      </c>
      <c r="G620" s="11" t="n">
        <v>2064</v>
      </c>
      <c r="H620" s="11" t="n">
        <v>154</v>
      </c>
      <c r="I620" s="11" t="n">
        <v>45</v>
      </c>
      <c r="J620" s="11" t="n">
        <v>0</v>
      </c>
      <c r="K620" s="10" t="str">
        <f aca="false">IF(ISNUMBER(J620),IF(J620&lt;10,"ультра-НЧ",IF(J620&lt;100,"НЧ",IF(J620&lt;=1000,"СЧ","ВЧ"))),IF(ISNUMBER(I620),IF(I620&lt;10,"ультра-НЧ",IF(I620&lt;100,"НЧ",IF(I620&lt;=1000,"СЧ","ВЧ"))),"нет данных"))</f>
        <v>ультра-НЧ</v>
      </c>
      <c r="L620" s="12" t="n">
        <f aca="false">IF(AND(ISNUMBER(G620),G620&gt;0,ISNUMBER(I620)),I620/G620,"")</f>
        <v>0.0218023255813954</v>
      </c>
      <c r="M620" s="10" t="s">
        <v>112</v>
      </c>
      <c r="N620" s="10" t="s">
        <v>911</v>
      </c>
      <c r="O620" s="10"/>
    </row>
    <row r="621" customFormat="false" ht="15" hidden="false" customHeight="false" outlineLevel="0" collapsed="false">
      <c r="A621" s="10" t="n">
        <v>620</v>
      </c>
      <c r="B621" s="10" t="s">
        <v>912</v>
      </c>
      <c r="C621" s="10" t="s">
        <v>907</v>
      </c>
      <c r="D621" s="10" t="s">
        <v>908</v>
      </c>
      <c r="E621" s="10" t="s">
        <v>824</v>
      </c>
      <c r="F621" s="10" t="s">
        <v>93</v>
      </c>
      <c r="G621" s="11" t="n">
        <v>26051</v>
      </c>
      <c r="H621" s="11" t="n">
        <v>1955</v>
      </c>
      <c r="I621" s="11" t="n">
        <v>557</v>
      </c>
      <c r="J621" s="11" t="n">
        <v>31</v>
      </c>
      <c r="K621" s="10" t="str">
        <f aca="false">IF(ISNUMBER(J621),IF(J621&lt;10,"ультра-НЧ",IF(J621&lt;100,"НЧ",IF(J621&lt;=1000,"СЧ","ВЧ"))),IF(ISNUMBER(I621),IF(I621&lt;10,"ультра-НЧ",IF(I621&lt;100,"НЧ",IF(I621&lt;=1000,"СЧ","ВЧ"))),"нет данных"))</f>
        <v>НЧ</v>
      </c>
      <c r="L621" s="12" t="n">
        <f aca="false">IF(AND(ISNUMBER(G621),G621&gt;0,ISNUMBER(I621)),I621/G621,"")</f>
        <v>0.021381137000499</v>
      </c>
      <c r="M621" s="10" t="s">
        <v>103</v>
      </c>
      <c r="N621" s="10" t="s">
        <v>913</v>
      </c>
      <c r="O621" s="10"/>
    </row>
    <row r="622" customFormat="false" ht="15" hidden="false" customHeight="false" outlineLevel="0" collapsed="false">
      <c r="A622" s="10" t="n">
        <v>621</v>
      </c>
      <c r="B622" s="10" t="s">
        <v>914</v>
      </c>
      <c r="C622" s="10" t="s">
        <v>907</v>
      </c>
      <c r="D622" s="10" t="s">
        <v>908</v>
      </c>
      <c r="E622" s="10" t="s">
        <v>824</v>
      </c>
      <c r="F622" s="10" t="s">
        <v>93</v>
      </c>
      <c r="G622" s="11" t="n">
        <v>654</v>
      </c>
      <c r="H622" s="11" t="n">
        <v>150</v>
      </c>
      <c r="I622" s="11" t="n">
        <v>25</v>
      </c>
      <c r="J622" s="11" t="n">
        <v>3</v>
      </c>
      <c r="K622" s="10" t="str">
        <f aca="false">IF(ISNUMBER(J622),IF(J622&lt;10,"ультра-НЧ",IF(J622&lt;100,"НЧ",IF(J622&lt;=1000,"СЧ","ВЧ"))),IF(ISNUMBER(I622),IF(I622&lt;10,"ультра-НЧ",IF(I622&lt;100,"НЧ",IF(I622&lt;=1000,"СЧ","ВЧ"))),"нет данных"))</f>
        <v>ультра-НЧ</v>
      </c>
      <c r="L622" s="12" t="n">
        <f aca="false">IF(AND(ISNUMBER(G622),G622&gt;0,ISNUMBER(I622)),I622/G622,"")</f>
        <v>0.0382262996941896</v>
      </c>
      <c r="M622" s="10" t="s">
        <v>112</v>
      </c>
      <c r="N622" s="10" t="s">
        <v>915</v>
      </c>
      <c r="O622" s="10"/>
    </row>
    <row r="623" customFormat="false" ht="15" hidden="false" customHeight="false" outlineLevel="0" collapsed="false">
      <c r="A623" s="10" t="n">
        <v>622</v>
      </c>
      <c r="B623" s="10" t="s">
        <v>916</v>
      </c>
      <c r="C623" s="10" t="s">
        <v>907</v>
      </c>
      <c r="D623" s="10" t="s">
        <v>908</v>
      </c>
      <c r="E623" s="10" t="s">
        <v>824</v>
      </c>
      <c r="F623" s="10" t="s">
        <v>93</v>
      </c>
      <c r="G623" s="11" t="n">
        <v>390</v>
      </c>
      <c r="H623" s="11" t="n">
        <v>99</v>
      </c>
      <c r="I623" s="11" t="n">
        <v>3</v>
      </c>
      <c r="J623" s="11" t="n">
        <v>0</v>
      </c>
      <c r="K623" s="10" t="str">
        <f aca="false">IF(ISNUMBER(J623),IF(J623&lt;10,"ультра-НЧ",IF(J623&lt;100,"НЧ",IF(J623&lt;=1000,"СЧ","ВЧ"))),IF(ISNUMBER(I623),IF(I623&lt;10,"ультра-НЧ",IF(I623&lt;100,"НЧ",IF(I623&lt;=1000,"СЧ","ВЧ"))),"нет данных"))</f>
        <v>ультра-НЧ</v>
      </c>
      <c r="L623" s="12" t="n">
        <f aca="false">IF(AND(ISNUMBER(G623),G623&gt;0,ISNUMBER(I623)),I623/G623,"")</f>
        <v>0.00769230769230769</v>
      </c>
      <c r="M623" s="10" t="s">
        <v>94</v>
      </c>
      <c r="N623" s="10" t="s">
        <v>917</v>
      </c>
      <c r="O623" s="10"/>
    </row>
    <row r="624" customFormat="false" ht="15" hidden="false" customHeight="false" outlineLevel="0" collapsed="false">
      <c r="A624" s="10" t="n">
        <v>623</v>
      </c>
      <c r="B624" s="10" t="s">
        <v>918</v>
      </c>
      <c r="C624" s="10" t="s">
        <v>907</v>
      </c>
      <c r="D624" s="10" t="s">
        <v>908</v>
      </c>
      <c r="E624" s="10" t="s">
        <v>824</v>
      </c>
      <c r="F624" s="10" t="s">
        <v>93</v>
      </c>
      <c r="G624" s="11" t="n">
        <v>10</v>
      </c>
      <c r="H624" s="11" t="n">
        <v>3</v>
      </c>
      <c r="I624" s="11" t="n">
        <v>1</v>
      </c>
      <c r="J624" s="11" t="n">
        <v>0</v>
      </c>
      <c r="K624" s="10" t="str">
        <f aca="false">IF(ISNUMBER(J624),IF(J624&lt;10,"ультра-НЧ",IF(J624&lt;100,"НЧ",IF(J624&lt;=1000,"СЧ","ВЧ"))),IF(ISNUMBER(I624),IF(I624&lt;10,"ультра-НЧ",IF(I624&lt;100,"НЧ",IF(I624&lt;=1000,"СЧ","ВЧ"))),"нет данных"))</f>
        <v>ультра-НЧ</v>
      </c>
      <c r="L624" s="12" t="n">
        <f aca="false">IF(AND(ISNUMBER(G624),G624&gt;0,ISNUMBER(I624)),I624/G624,"")</f>
        <v>0.1</v>
      </c>
      <c r="M624" s="10" t="s">
        <v>94</v>
      </c>
      <c r="N624" s="10" t="s">
        <v>919</v>
      </c>
      <c r="O624" s="10"/>
    </row>
    <row r="625" customFormat="false" ht="15" hidden="false" customHeight="false" outlineLevel="0" collapsed="false">
      <c r="A625" s="10" t="n">
        <v>624</v>
      </c>
      <c r="B625" s="10" t="s">
        <v>920</v>
      </c>
      <c r="C625" s="10" t="s">
        <v>907</v>
      </c>
      <c r="D625" s="10" t="s">
        <v>908</v>
      </c>
      <c r="E625" s="10" t="s">
        <v>824</v>
      </c>
      <c r="F625" s="10" t="s">
        <v>136</v>
      </c>
      <c r="G625" s="11" t="n">
        <v>274</v>
      </c>
      <c r="H625" s="11"/>
      <c r="I625" s="11"/>
      <c r="J625" s="11"/>
      <c r="K625" s="10" t="str">
        <f aca="false">IF(ISNUMBER(J625),IF(J625&lt;10,"ультра-НЧ",IF(J625&lt;100,"НЧ",IF(J625&lt;=1000,"СЧ","ВЧ"))),IF(ISNUMBER(I625),IF(I625&lt;10,"ультра-НЧ",IF(I625&lt;100,"НЧ",IF(I625&lt;=1000,"СЧ","ВЧ"))),"нет данных"))</f>
        <v>нет данных</v>
      </c>
      <c r="L625" s="12" t="str">
        <f aca="false">IF(AND(ISNUMBER(G625),G625&gt;0,ISNUMBER(I625)),I625/G625,"")</f>
        <v/>
      </c>
      <c r="M625" s="10" t="s">
        <v>112</v>
      </c>
      <c r="N625" s="10" t="s">
        <v>921</v>
      </c>
      <c r="O625" s="10"/>
    </row>
    <row r="626" customFormat="false" ht="15" hidden="false" customHeight="false" outlineLevel="0" collapsed="false">
      <c r="A626" s="10" t="n">
        <v>625</v>
      </c>
      <c r="B626" s="10" t="s">
        <v>922</v>
      </c>
      <c r="C626" s="10" t="s">
        <v>907</v>
      </c>
      <c r="D626" s="10" t="s">
        <v>908</v>
      </c>
      <c r="E626" s="10" t="s">
        <v>824</v>
      </c>
      <c r="F626" s="10" t="s">
        <v>136</v>
      </c>
      <c r="G626" s="11" t="n">
        <v>82</v>
      </c>
      <c r="H626" s="11"/>
      <c r="I626" s="11"/>
      <c r="J626" s="11"/>
      <c r="K626" s="10" t="str">
        <f aca="false">IF(ISNUMBER(J626),IF(J626&lt;10,"ультра-НЧ",IF(J626&lt;100,"НЧ",IF(J626&lt;=1000,"СЧ","ВЧ"))),IF(ISNUMBER(I626),IF(I626&lt;10,"ультра-НЧ",IF(I626&lt;100,"НЧ",IF(I626&lt;=1000,"СЧ","ВЧ"))),"нет данных"))</f>
        <v>нет данных</v>
      </c>
      <c r="L626" s="12" t="str">
        <f aca="false">IF(AND(ISNUMBER(G626),G626&gt;0,ISNUMBER(I626)),I626/G626,"")</f>
        <v/>
      </c>
      <c r="M626" s="10" t="s">
        <v>94</v>
      </c>
      <c r="N626" s="10" t="s">
        <v>922</v>
      </c>
      <c r="O626" s="10"/>
    </row>
    <row r="627" customFormat="false" ht="15" hidden="false" customHeight="false" outlineLevel="0" collapsed="false">
      <c r="A627" s="10" t="n">
        <v>626</v>
      </c>
      <c r="B627" s="10" t="s">
        <v>923</v>
      </c>
      <c r="C627" s="10" t="s">
        <v>907</v>
      </c>
      <c r="D627" s="10" t="s">
        <v>908</v>
      </c>
      <c r="E627" s="10" t="s">
        <v>824</v>
      </c>
      <c r="F627" s="10" t="s">
        <v>136</v>
      </c>
      <c r="G627" s="11" t="n">
        <v>79</v>
      </c>
      <c r="H627" s="11"/>
      <c r="I627" s="11"/>
      <c r="J627" s="11"/>
      <c r="K627" s="10" t="str">
        <f aca="false">IF(ISNUMBER(J627),IF(J627&lt;10,"ультра-НЧ",IF(J627&lt;100,"НЧ",IF(J627&lt;=1000,"СЧ","ВЧ"))),IF(ISNUMBER(I627),IF(I627&lt;10,"ультра-НЧ",IF(I627&lt;100,"НЧ",IF(I627&lt;=1000,"СЧ","ВЧ"))),"нет данных"))</f>
        <v>нет данных</v>
      </c>
      <c r="L627" s="12" t="str">
        <f aca="false">IF(AND(ISNUMBER(G627),G627&gt;0,ISNUMBER(I627)),I627/G627,"")</f>
        <v/>
      </c>
      <c r="M627" s="10" t="s">
        <v>94</v>
      </c>
      <c r="N627" s="10" t="s">
        <v>923</v>
      </c>
      <c r="O627" s="10"/>
    </row>
    <row r="628" customFormat="false" ht="15" hidden="false" customHeight="false" outlineLevel="0" collapsed="false">
      <c r="A628" s="10" t="n">
        <v>627</v>
      </c>
      <c r="B628" s="10" t="s">
        <v>924</v>
      </c>
      <c r="C628" s="10" t="s">
        <v>907</v>
      </c>
      <c r="D628" s="10" t="s">
        <v>908</v>
      </c>
      <c r="E628" s="10" t="s">
        <v>824</v>
      </c>
      <c r="F628" s="10" t="s">
        <v>136</v>
      </c>
      <c r="G628" s="11" t="n">
        <v>62</v>
      </c>
      <c r="H628" s="11"/>
      <c r="I628" s="11"/>
      <c r="J628" s="11"/>
      <c r="K628" s="10" t="str">
        <f aca="false">IF(ISNUMBER(J628),IF(J628&lt;10,"ультра-НЧ",IF(J628&lt;100,"НЧ",IF(J628&lt;=1000,"СЧ","ВЧ"))),IF(ISNUMBER(I628),IF(I628&lt;10,"ультра-НЧ",IF(I628&lt;100,"НЧ",IF(I628&lt;=1000,"СЧ","ВЧ"))),"нет данных"))</f>
        <v>нет данных</v>
      </c>
      <c r="L628" s="12" t="str">
        <f aca="false">IF(AND(ISNUMBER(G628),G628&gt;0,ISNUMBER(I628)),I628/G628,"")</f>
        <v/>
      </c>
      <c r="M628" s="10" t="s">
        <v>94</v>
      </c>
      <c r="N628" s="10" t="s">
        <v>924</v>
      </c>
      <c r="O628" s="10"/>
    </row>
    <row r="629" customFormat="false" ht="15" hidden="false" customHeight="false" outlineLevel="0" collapsed="false">
      <c r="A629" s="10" t="n">
        <v>628</v>
      </c>
      <c r="B629" s="10" t="s">
        <v>925</v>
      </c>
      <c r="C629" s="10" t="s">
        <v>907</v>
      </c>
      <c r="D629" s="10" t="s">
        <v>908</v>
      </c>
      <c r="E629" s="10" t="s">
        <v>824</v>
      </c>
      <c r="F629" s="10" t="s">
        <v>136</v>
      </c>
      <c r="G629" s="11" t="n">
        <v>48</v>
      </c>
      <c r="H629" s="11"/>
      <c r="I629" s="11"/>
      <c r="J629" s="11"/>
      <c r="K629" s="10" t="str">
        <f aca="false">IF(ISNUMBER(J629),IF(J629&lt;10,"ультра-НЧ",IF(J629&lt;100,"НЧ",IF(J629&lt;=1000,"СЧ","ВЧ"))),IF(ISNUMBER(I629),IF(I629&lt;10,"ультра-НЧ",IF(I629&lt;100,"НЧ",IF(I629&lt;=1000,"СЧ","ВЧ"))),"нет данных"))</f>
        <v>нет данных</v>
      </c>
      <c r="L629" s="12" t="str">
        <f aca="false">IF(AND(ISNUMBER(G629),G629&gt;0,ISNUMBER(I629)),I629/G629,"")</f>
        <v/>
      </c>
      <c r="M629" s="10" t="s">
        <v>94</v>
      </c>
      <c r="N629" s="10" t="s">
        <v>926</v>
      </c>
      <c r="O629" s="10"/>
    </row>
    <row r="630" customFormat="false" ht="15" hidden="false" customHeight="false" outlineLevel="0" collapsed="false">
      <c r="A630" s="10" t="n">
        <v>629</v>
      </c>
      <c r="B630" s="10" t="s">
        <v>927</v>
      </c>
      <c r="C630" s="10" t="s">
        <v>907</v>
      </c>
      <c r="D630" s="10" t="s">
        <v>908</v>
      </c>
      <c r="E630" s="10" t="s">
        <v>824</v>
      </c>
      <c r="F630" s="10" t="s">
        <v>136</v>
      </c>
      <c r="G630" s="11" t="n">
        <v>46</v>
      </c>
      <c r="H630" s="11"/>
      <c r="I630" s="11"/>
      <c r="J630" s="11"/>
      <c r="K630" s="10" t="str">
        <f aca="false">IF(ISNUMBER(J630),IF(J630&lt;10,"ультра-НЧ",IF(J630&lt;100,"НЧ",IF(J630&lt;=1000,"СЧ","ВЧ"))),IF(ISNUMBER(I630),IF(I630&lt;10,"ультра-НЧ",IF(I630&lt;100,"НЧ",IF(I630&lt;=1000,"СЧ","ВЧ"))),"нет данных"))</f>
        <v>нет данных</v>
      </c>
      <c r="L630" s="12" t="str">
        <f aca="false">IF(AND(ISNUMBER(G630),G630&gt;0,ISNUMBER(I630)),I630/G630,"")</f>
        <v/>
      </c>
      <c r="M630" s="10" t="s">
        <v>94</v>
      </c>
      <c r="N630" s="10" t="s">
        <v>928</v>
      </c>
      <c r="O630" s="10"/>
    </row>
    <row r="631" customFormat="false" ht="15" hidden="false" customHeight="false" outlineLevel="0" collapsed="false">
      <c r="A631" s="10" t="n">
        <v>630</v>
      </c>
      <c r="B631" s="10" t="s">
        <v>929</v>
      </c>
      <c r="C631" s="10" t="s">
        <v>907</v>
      </c>
      <c r="D631" s="10" t="s">
        <v>908</v>
      </c>
      <c r="E631" s="10" t="s">
        <v>824</v>
      </c>
      <c r="F631" s="10" t="s">
        <v>136</v>
      </c>
      <c r="G631" s="11" t="n">
        <v>33</v>
      </c>
      <c r="H631" s="11"/>
      <c r="I631" s="11"/>
      <c r="J631" s="11"/>
      <c r="K631" s="10" t="str">
        <f aca="false">IF(ISNUMBER(J631),IF(J631&lt;10,"ультра-НЧ",IF(J631&lt;100,"НЧ",IF(J631&lt;=1000,"СЧ","ВЧ"))),IF(ISNUMBER(I631),IF(I631&lt;10,"ультра-НЧ",IF(I631&lt;100,"НЧ",IF(I631&lt;=1000,"СЧ","ВЧ"))),"нет данных"))</f>
        <v>нет данных</v>
      </c>
      <c r="L631" s="12" t="str">
        <f aca="false">IF(AND(ISNUMBER(G631),G631&gt;0,ISNUMBER(I631)),I631/G631,"")</f>
        <v/>
      </c>
      <c r="M631" s="10" t="s">
        <v>94</v>
      </c>
      <c r="N631" s="10" t="s">
        <v>930</v>
      </c>
      <c r="O631" s="10"/>
    </row>
    <row r="632" customFormat="false" ht="15" hidden="false" customHeight="false" outlineLevel="0" collapsed="false">
      <c r="A632" s="10" t="n">
        <v>631</v>
      </c>
      <c r="B632" s="10" t="s">
        <v>931</v>
      </c>
      <c r="C632" s="10" t="s">
        <v>907</v>
      </c>
      <c r="D632" s="10" t="s">
        <v>908</v>
      </c>
      <c r="E632" s="10" t="s">
        <v>824</v>
      </c>
      <c r="F632" s="10" t="s">
        <v>123</v>
      </c>
      <c r="G632" s="11" t="n">
        <v>2635</v>
      </c>
      <c r="H632" s="11"/>
      <c r="I632" s="11" t="n">
        <v>44</v>
      </c>
      <c r="J632" s="11" t="n">
        <v>10</v>
      </c>
      <c r="K632" s="10" t="str">
        <f aca="false">IF(ISNUMBER(J632),IF(J632&lt;10,"ультра-НЧ",IF(J632&lt;100,"НЧ",IF(J632&lt;=1000,"СЧ","ВЧ"))),IF(ISNUMBER(I632),IF(I632&lt;10,"ультра-НЧ",IF(I632&lt;100,"НЧ",IF(I632&lt;=1000,"СЧ","ВЧ"))),"нет данных"))</f>
        <v>НЧ</v>
      </c>
      <c r="L632" s="12" t="n">
        <f aca="false">IF(AND(ISNUMBER(G632),G632&gt;0,ISNUMBER(I632)),I632/G632,"")</f>
        <v>0.0166982922201139</v>
      </c>
      <c r="M632" s="10" t="s">
        <v>103</v>
      </c>
      <c r="N632" s="10" t="s">
        <v>932</v>
      </c>
      <c r="O632" s="10"/>
    </row>
    <row r="633" customFormat="false" ht="15" hidden="false" customHeight="false" outlineLevel="0" collapsed="false">
      <c r="A633" s="10" t="n">
        <v>632</v>
      </c>
      <c r="B633" s="10" t="s">
        <v>933</v>
      </c>
      <c r="C633" s="10" t="s">
        <v>907</v>
      </c>
      <c r="D633" s="10" t="s">
        <v>908</v>
      </c>
      <c r="E633" s="10" t="s">
        <v>824</v>
      </c>
      <c r="F633" s="10" t="s">
        <v>123</v>
      </c>
      <c r="G633" s="11" t="n">
        <v>1011</v>
      </c>
      <c r="H633" s="11"/>
      <c r="I633" s="11" t="n">
        <v>6</v>
      </c>
      <c r="J633" s="11" t="n">
        <v>4</v>
      </c>
      <c r="K633" s="10" t="str">
        <f aca="false">IF(ISNUMBER(J633),IF(J633&lt;10,"ультра-НЧ",IF(J633&lt;100,"НЧ",IF(J633&lt;=1000,"СЧ","ВЧ"))),IF(ISNUMBER(I633),IF(I633&lt;10,"ультра-НЧ",IF(I633&lt;100,"НЧ",IF(I633&lt;=1000,"СЧ","ВЧ"))),"нет данных"))</f>
        <v>ультра-НЧ</v>
      </c>
      <c r="L633" s="12" t="n">
        <f aca="false">IF(AND(ISNUMBER(G633),G633&gt;0,ISNUMBER(I633)),I633/G633,"")</f>
        <v>0.00593471810089021</v>
      </c>
      <c r="M633" s="10" t="s">
        <v>103</v>
      </c>
      <c r="N633" s="10" t="s">
        <v>934</v>
      </c>
      <c r="O633" s="10"/>
    </row>
    <row r="634" customFormat="false" ht="15" hidden="false" customHeight="false" outlineLevel="0" collapsed="false">
      <c r="A634" s="10" t="n">
        <v>633</v>
      </c>
      <c r="B634" s="10" t="s">
        <v>935</v>
      </c>
      <c r="C634" s="10" t="s">
        <v>907</v>
      </c>
      <c r="D634" s="10" t="s">
        <v>908</v>
      </c>
      <c r="E634" s="10" t="s">
        <v>824</v>
      </c>
      <c r="F634" s="10" t="s">
        <v>136</v>
      </c>
      <c r="G634" s="11" t="n">
        <v>104</v>
      </c>
      <c r="H634" s="11"/>
      <c r="I634" s="11" t="n">
        <v>4</v>
      </c>
      <c r="J634" s="11"/>
      <c r="K634" s="10" t="str">
        <f aca="false">IF(ISNUMBER(J634),IF(J634&lt;10,"ультра-НЧ",IF(J634&lt;100,"НЧ",IF(J634&lt;=1000,"СЧ","ВЧ"))),IF(ISNUMBER(I634),IF(I634&lt;10,"ультра-НЧ",IF(I634&lt;100,"НЧ",IF(I634&lt;=1000,"СЧ","ВЧ"))),"нет данных"))</f>
        <v>ультра-НЧ</v>
      </c>
      <c r="L634" s="12" t="n">
        <f aca="false">IF(AND(ISNUMBER(G634),G634&gt;0,ISNUMBER(I634)),I634/G634,"")</f>
        <v>0.0384615384615385</v>
      </c>
      <c r="M634" s="10" t="s">
        <v>112</v>
      </c>
      <c r="N634" s="10" t="s">
        <v>936</v>
      </c>
      <c r="O634" s="10"/>
    </row>
    <row r="635" customFormat="false" ht="15" hidden="false" customHeight="false" outlineLevel="0" collapsed="false">
      <c r="A635" s="10" t="n">
        <v>634</v>
      </c>
      <c r="B635" s="10" t="s">
        <v>937</v>
      </c>
      <c r="C635" s="10" t="s">
        <v>907</v>
      </c>
      <c r="D635" s="10" t="s">
        <v>908</v>
      </c>
      <c r="E635" s="10" t="s">
        <v>824</v>
      </c>
      <c r="F635" s="10" t="s">
        <v>136</v>
      </c>
      <c r="G635" s="11" t="n">
        <v>280</v>
      </c>
      <c r="H635" s="11"/>
      <c r="I635" s="11" t="n">
        <v>3</v>
      </c>
      <c r="J635" s="11"/>
      <c r="K635" s="10" t="str">
        <f aca="false">IF(ISNUMBER(J635),IF(J635&lt;10,"ультра-НЧ",IF(J635&lt;100,"НЧ",IF(J635&lt;=1000,"СЧ","ВЧ"))),IF(ISNUMBER(I635),IF(I635&lt;10,"ультра-НЧ",IF(I635&lt;100,"НЧ",IF(I635&lt;=1000,"СЧ","ВЧ"))),"нет данных"))</f>
        <v>ультра-НЧ</v>
      </c>
      <c r="L635" s="12" t="n">
        <f aca="false">IF(AND(ISNUMBER(G635),G635&gt;0,ISNUMBER(I635)),I635/G635,"")</f>
        <v>0.0107142857142857</v>
      </c>
      <c r="M635" s="10" t="s">
        <v>112</v>
      </c>
      <c r="N635" s="10" t="s">
        <v>938</v>
      </c>
      <c r="O635" s="10"/>
    </row>
    <row r="636" customFormat="false" ht="15" hidden="false" customHeight="false" outlineLevel="0" collapsed="false">
      <c r="A636" s="10" t="n">
        <v>635</v>
      </c>
      <c r="B636" s="10" t="s">
        <v>939</v>
      </c>
      <c r="C636" s="10" t="s">
        <v>907</v>
      </c>
      <c r="D636" s="10" t="s">
        <v>908</v>
      </c>
      <c r="E636" s="10" t="s">
        <v>824</v>
      </c>
      <c r="F636" s="10" t="s">
        <v>136</v>
      </c>
      <c r="G636" s="11" t="n">
        <v>67</v>
      </c>
      <c r="H636" s="11"/>
      <c r="I636" s="11" t="n">
        <v>2</v>
      </c>
      <c r="J636" s="11"/>
      <c r="K636" s="10" t="str">
        <f aca="false">IF(ISNUMBER(J636),IF(J636&lt;10,"ультра-НЧ",IF(J636&lt;100,"НЧ",IF(J636&lt;=1000,"СЧ","ВЧ"))),IF(ISNUMBER(I636),IF(I636&lt;10,"ультра-НЧ",IF(I636&lt;100,"НЧ",IF(I636&lt;=1000,"СЧ","ВЧ"))),"нет данных"))</f>
        <v>ультра-НЧ</v>
      </c>
      <c r="L636" s="12" t="n">
        <f aca="false">IF(AND(ISNUMBER(G636),G636&gt;0,ISNUMBER(I636)),I636/G636,"")</f>
        <v>0.0298507462686567</v>
      </c>
      <c r="M636" s="10" t="s">
        <v>94</v>
      </c>
      <c r="N636" s="10" t="s">
        <v>940</v>
      </c>
      <c r="O636" s="10"/>
    </row>
    <row r="637" customFormat="false" ht="15" hidden="false" customHeight="false" outlineLevel="0" collapsed="false">
      <c r="A637" s="10" t="n">
        <v>636</v>
      </c>
      <c r="B637" s="10" t="s">
        <v>941</v>
      </c>
      <c r="C637" s="10" t="s">
        <v>907</v>
      </c>
      <c r="D637" s="10" t="s">
        <v>908</v>
      </c>
      <c r="E637" s="10" t="s">
        <v>824</v>
      </c>
      <c r="F637" s="10" t="s">
        <v>136</v>
      </c>
      <c r="G637" s="11" t="n">
        <v>115</v>
      </c>
      <c r="H637" s="11"/>
      <c r="I637" s="11" t="n">
        <v>1</v>
      </c>
      <c r="J637" s="11"/>
      <c r="K637" s="10" t="str">
        <f aca="false">IF(ISNUMBER(J637),IF(J637&lt;10,"ультра-НЧ",IF(J637&lt;100,"НЧ",IF(J637&lt;=1000,"СЧ","ВЧ"))),IF(ISNUMBER(I637),IF(I637&lt;10,"ультра-НЧ",IF(I637&lt;100,"НЧ",IF(I637&lt;=1000,"СЧ","ВЧ"))),"нет данных"))</f>
        <v>ультра-НЧ</v>
      </c>
      <c r="L637" s="12" t="n">
        <f aca="false">IF(AND(ISNUMBER(G637),G637&gt;0,ISNUMBER(I637)),I637/G637,"")</f>
        <v>0.00869565217391304</v>
      </c>
      <c r="M637" s="10" t="s">
        <v>112</v>
      </c>
      <c r="N637" s="10" t="s">
        <v>942</v>
      </c>
      <c r="O637" s="10"/>
    </row>
    <row r="638" customFormat="false" ht="15" hidden="false" customHeight="false" outlineLevel="0" collapsed="false">
      <c r="A638" s="10" t="n">
        <v>637</v>
      </c>
      <c r="B638" s="10" t="s">
        <v>943</v>
      </c>
      <c r="C638" s="10" t="s">
        <v>944</v>
      </c>
      <c r="D638" s="10" t="s">
        <v>945</v>
      </c>
      <c r="E638" s="10" t="s">
        <v>824</v>
      </c>
      <c r="F638" s="10" t="s">
        <v>93</v>
      </c>
      <c r="G638" s="11" t="n">
        <v>2642</v>
      </c>
      <c r="H638" s="11" t="n">
        <v>84</v>
      </c>
      <c r="I638" s="11" t="n">
        <v>53</v>
      </c>
      <c r="J638" s="11" t="n">
        <v>0</v>
      </c>
      <c r="K638" s="10" t="str">
        <f aca="false">IF(ISNUMBER(J638),IF(J638&lt;10,"ультра-НЧ",IF(J638&lt;100,"НЧ",IF(J638&lt;=1000,"СЧ","ВЧ"))),IF(ISNUMBER(I638),IF(I638&lt;10,"ультра-НЧ",IF(I638&lt;100,"НЧ",IF(I638&lt;=1000,"СЧ","ВЧ"))),"нет данных"))</f>
        <v>ультра-НЧ</v>
      </c>
      <c r="L638" s="12" t="n">
        <f aca="false">IF(AND(ISNUMBER(G638),G638&gt;0,ISNUMBER(I638)),I638/G638,"")</f>
        <v>0.0200605601816805</v>
      </c>
      <c r="M638" s="10" t="s">
        <v>94</v>
      </c>
      <c r="N638" s="10" t="s">
        <v>946</v>
      </c>
      <c r="O638" s="10"/>
    </row>
    <row r="639" customFormat="false" ht="15" hidden="false" customHeight="false" outlineLevel="0" collapsed="false">
      <c r="A639" s="10" t="n">
        <v>638</v>
      </c>
      <c r="B639" s="10" t="s">
        <v>947</v>
      </c>
      <c r="C639" s="10" t="s">
        <v>944</v>
      </c>
      <c r="D639" s="10" t="s">
        <v>945</v>
      </c>
      <c r="E639" s="10" t="s">
        <v>824</v>
      </c>
      <c r="F639" s="10" t="s">
        <v>93</v>
      </c>
      <c r="G639" s="11" t="n">
        <v>38</v>
      </c>
      <c r="H639" s="11" t="n">
        <v>0</v>
      </c>
      <c r="I639" s="11" t="n">
        <v>0</v>
      </c>
      <c r="J639" s="11" t="n">
        <v>0</v>
      </c>
      <c r="K639" s="10" t="str">
        <f aca="false">IF(ISNUMBER(J639),IF(J639&lt;10,"ультра-НЧ",IF(J639&lt;100,"НЧ",IF(J639&lt;=1000,"СЧ","ВЧ"))),IF(ISNUMBER(I639),IF(I639&lt;10,"ультра-НЧ",IF(I639&lt;100,"НЧ",IF(I639&lt;=1000,"СЧ","ВЧ"))),"нет данных"))</f>
        <v>ультра-НЧ</v>
      </c>
      <c r="L639" s="12" t="n">
        <f aca="false">IF(AND(ISNUMBER(G639),G639&gt;0,ISNUMBER(I639)),I639/G639,"")</f>
        <v>0</v>
      </c>
      <c r="M639" s="10" t="s">
        <v>94</v>
      </c>
      <c r="N639" s="10" t="s">
        <v>948</v>
      </c>
      <c r="O639" s="10"/>
    </row>
    <row r="640" customFormat="false" ht="15" hidden="false" customHeight="false" outlineLevel="0" collapsed="false">
      <c r="A640" s="10" t="n">
        <v>639</v>
      </c>
      <c r="B640" s="10" t="s">
        <v>949</v>
      </c>
      <c r="C640" s="10" t="s">
        <v>944</v>
      </c>
      <c r="D640" s="10" t="s">
        <v>945</v>
      </c>
      <c r="E640" s="10" t="s">
        <v>824</v>
      </c>
      <c r="F640" s="10" t="s">
        <v>93</v>
      </c>
      <c r="G640" s="11" t="n">
        <v>1325</v>
      </c>
      <c r="H640" s="11" t="n">
        <v>39</v>
      </c>
      <c r="I640" s="11" t="n">
        <v>32</v>
      </c>
      <c r="J640" s="11" t="n">
        <v>0</v>
      </c>
      <c r="K640" s="10" t="str">
        <f aca="false">IF(ISNUMBER(J640),IF(J640&lt;10,"ультра-НЧ",IF(J640&lt;100,"НЧ",IF(J640&lt;=1000,"СЧ","ВЧ"))),IF(ISNUMBER(I640),IF(I640&lt;10,"ультра-НЧ",IF(I640&lt;100,"НЧ",IF(I640&lt;=1000,"СЧ","ВЧ"))),"нет данных"))</f>
        <v>ультра-НЧ</v>
      </c>
      <c r="L640" s="12" t="n">
        <f aca="false">IF(AND(ISNUMBER(G640),G640&gt;0,ISNUMBER(I640)),I640/G640,"")</f>
        <v>0.0241509433962264</v>
      </c>
      <c r="M640" s="10" t="s">
        <v>94</v>
      </c>
      <c r="N640" s="10" t="s">
        <v>950</v>
      </c>
      <c r="O640" s="10"/>
    </row>
    <row r="641" customFormat="false" ht="15" hidden="false" customHeight="false" outlineLevel="0" collapsed="false">
      <c r="A641" s="10" t="n">
        <v>640</v>
      </c>
      <c r="B641" s="10" t="s">
        <v>951</v>
      </c>
      <c r="C641" s="10" t="s">
        <v>944</v>
      </c>
      <c r="D641" s="10" t="s">
        <v>945</v>
      </c>
      <c r="E641" s="10" t="s">
        <v>824</v>
      </c>
      <c r="F641" s="10" t="s">
        <v>93</v>
      </c>
      <c r="G641" s="11" t="n">
        <v>11</v>
      </c>
      <c r="H641" s="11" t="n">
        <v>1</v>
      </c>
      <c r="I641" s="11" t="n">
        <v>0</v>
      </c>
      <c r="J641" s="11" t="n">
        <v>0</v>
      </c>
      <c r="K641" s="10" t="str">
        <f aca="false">IF(ISNUMBER(J641),IF(J641&lt;10,"ультра-НЧ",IF(J641&lt;100,"НЧ",IF(J641&lt;=1000,"СЧ","ВЧ"))),IF(ISNUMBER(I641),IF(I641&lt;10,"ультра-НЧ",IF(I641&lt;100,"НЧ",IF(I641&lt;=1000,"СЧ","ВЧ"))),"нет данных"))</f>
        <v>ультра-НЧ</v>
      </c>
      <c r="L641" s="12" t="n">
        <f aca="false">IF(AND(ISNUMBER(G641),G641&gt;0,ISNUMBER(I641)),I641/G641,"")</f>
        <v>0</v>
      </c>
      <c r="M641" s="10" t="s">
        <v>94</v>
      </c>
      <c r="N641" s="10" t="s">
        <v>952</v>
      </c>
      <c r="O641" s="10"/>
    </row>
    <row r="642" customFormat="false" ht="15" hidden="false" customHeight="false" outlineLevel="0" collapsed="false">
      <c r="A642" s="10" t="n">
        <v>641</v>
      </c>
      <c r="B642" s="10" t="s">
        <v>953</v>
      </c>
      <c r="C642" s="10" t="s">
        <v>944</v>
      </c>
      <c r="D642" s="10" t="s">
        <v>945</v>
      </c>
      <c r="E642" s="10" t="s">
        <v>824</v>
      </c>
      <c r="F642" s="10" t="s">
        <v>93</v>
      </c>
      <c r="G642" s="11" t="n">
        <v>8</v>
      </c>
      <c r="H642" s="11" t="n">
        <v>0</v>
      </c>
      <c r="I642" s="11" t="n">
        <v>0</v>
      </c>
      <c r="J642" s="11" t="n">
        <v>0</v>
      </c>
      <c r="K642" s="10" t="str">
        <f aca="false">IF(ISNUMBER(J642),IF(J642&lt;10,"ультра-НЧ",IF(J642&lt;100,"НЧ",IF(J642&lt;=1000,"СЧ","ВЧ"))),IF(ISNUMBER(I642),IF(I642&lt;10,"ультра-НЧ",IF(I642&lt;100,"НЧ",IF(I642&lt;=1000,"СЧ","ВЧ"))),"нет данных"))</f>
        <v>ультра-НЧ</v>
      </c>
      <c r="L642" s="12" t="n">
        <f aca="false">IF(AND(ISNUMBER(G642),G642&gt;0,ISNUMBER(I642)),I642/G642,"")</f>
        <v>0</v>
      </c>
      <c r="M642" s="10" t="s">
        <v>94</v>
      </c>
      <c r="N642" s="10" t="s">
        <v>954</v>
      </c>
      <c r="O642" s="10"/>
    </row>
    <row r="643" customFormat="false" ht="15" hidden="false" customHeight="false" outlineLevel="0" collapsed="false">
      <c r="A643" s="10" t="n">
        <v>642</v>
      </c>
      <c r="B643" s="10" t="s">
        <v>955</v>
      </c>
      <c r="C643" s="10" t="s">
        <v>944</v>
      </c>
      <c r="D643" s="10" t="s">
        <v>945</v>
      </c>
      <c r="E643" s="10" t="s">
        <v>824</v>
      </c>
      <c r="F643" s="10" t="s">
        <v>93</v>
      </c>
      <c r="G643" s="11" t="n">
        <v>119</v>
      </c>
      <c r="H643" s="11" t="n">
        <v>4</v>
      </c>
      <c r="I643" s="11" t="n">
        <v>7</v>
      </c>
      <c r="J643" s="11" t="n">
        <v>0</v>
      </c>
      <c r="K643" s="10" t="str">
        <f aca="false">IF(ISNUMBER(J643),IF(J643&lt;10,"ультра-НЧ",IF(J643&lt;100,"НЧ",IF(J643&lt;=1000,"СЧ","ВЧ"))),IF(ISNUMBER(I643),IF(I643&lt;10,"ультра-НЧ",IF(I643&lt;100,"НЧ",IF(I643&lt;=1000,"СЧ","ВЧ"))),"нет данных"))</f>
        <v>ультра-НЧ</v>
      </c>
      <c r="L643" s="12" t="n">
        <f aca="false">IF(AND(ISNUMBER(G643),G643&gt;0,ISNUMBER(I643)),I643/G643,"")</f>
        <v>0.0588235294117647</v>
      </c>
      <c r="M643" s="10" t="s">
        <v>94</v>
      </c>
      <c r="N643" s="10" t="s">
        <v>955</v>
      </c>
      <c r="O643" s="10"/>
    </row>
    <row r="644" customFormat="false" ht="15" hidden="false" customHeight="false" outlineLevel="0" collapsed="false">
      <c r="A644" s="10" t="n">
        <v>643</v>
      </c>
      <c r="B644" s="10" t="s">
        <v>956</v>
      </c>
      <c r="C644" s="10" t="s">
        <v>944</v>
      </c>
      <c r="D644" s="10" t="s">
        <v>945</v>
      </c>
      <c r="E644" s="10" t="s">
        <v>824</v>
      </c>
      <c r="F644" s="10" t="s">
        <v>93</v>
      </c>
      <c r="G644" s="11" t="n">
        <v>126</v>
      </c>
      <c r="H644" s="11" t="n">
        <v>5</v>
      </c>
      <c r="I644" s="11" t="n">
        <v>2</v>
      </c>
      <c r="J644" s="11" t="n">
        <v>0</v>
      </c>
      <c r="K644" s="10" t="str">
        <f aca="false">IF(ISNUMBER(J644),IF(J644&lt;10,"ультра-НЧ",IF(J644&lt;100,"НЧ",IF(J644&lt;=1000,"СЧ","ВЧ"))),IF(ISNUMBER(I644),IF(I644&lt;10,"ультра-НЧ",IF(I644&lt;100,"НЧ",IF(I644&lt;=1000,"СЧ","ВЧ"))),"нет данных"))</f>
        <v>ультра-НЧ</v>
      </c>
      <c r="L644" s="12" t="n">
        <f aca="false">IF(AND(ISNUMBER(G644),G644&gt;0,ISNUMBER(I644)),I644/G644,"")</f>
        <v>0.0158730158730159</v>
      </c>
      <c r="M644" s="10" t="s">
        <v>94</v>
      </c>
      <c r="N644" s="10" t="s">
        <v>957</v>
      </c>
      <c r="O644" s="10"/>
    </row>
    <row r="645" customFormat="false" ht="15" hidden="false" customHeight="false" outlineLevel="0" collapsed="false">
      <c r="A645" s="10" t="n">
        <v>644</v>
      </c>
      <c r="B645" s="10" t="s">
        <v>958</v>
      </c>
      <c r="C645" s="10" t="s">
        <v>944</v>
      </c>
      <c r="D645" s="10" t="s">
        <v>945</v>
      </c>
      <c r="E645" s="10" t="s">
        <v>824</v>
      </c>
      <c r="F645" s="10" t="s">
        <v>93</v>
      </c>
      <c r="G645" s="11" t="n">
        <v>5040</v>
      </c>
      <c r="H645" s="11" t="n">
        <v>211</v>
      </c>
      <c r="I645" s="11" t="n">
        <v>62</v>
      </c>
      <c r="J645" s="11" t="n">
        <v>1</v>
      </c>
      <c r="K645" s="10" t="str">
        <f aca="false">IF(ISNUMBER(J645),IF(J645&lt;10,"ультра-НЧ",IF(J645&lt;100,"НЧ",IF(J645&lt;=1000,"СЧ","ВЧ"))),IF(ISNUMBER(I645),IF(I645&lt;10,"ультра-НЧ",IF(I645&lt;100,"НЧ",IF(I645&lt;=1000,"СЧ","ВЧ"))),"нет данных"))</f>
        <v>ультра-НЧ</v>
      </c>
      <c r="L645" s="12" t="n">
        <f aca="false">IF(AND(ISNUMBER(G645),G645&gt;0,ISNUMBER(I645)),I645/G645,"")</f>
        <v>0.0123015873015873</v>
      </c>
      <c r="M645" s="10" t="s">
        <v>112</v>
      </c>
      <c r="N645" s="10" t="s">
        <v>959</v>
      </c>
      <c r="O645" s="10"/>
    </row>
    <row r="646" customFormat="false" ht="15" hidden="false" customHeight="false" outlineLevel="0" collapsed="false">
      <c r="A646" s="10" t="n">
        <v>645</v>
      </c>
      <c r="B646" s="10" t="s">
        <v>960</v>
      </c>
      <c r="C646" s="10" t="s">
        <v>944</v>
      </c>
      <c r="D646" s="10" t="s">
        <v>945</v>
      </c>
      <c r="E646" s="10" t="s">
        <v>824</v>
      </c>
      <c r="F646" s="10" t="s">
        <v>93</v>
      </c>
      <c r="G646" s="11" t="n">
        <v>62</v>
      </c>
      <c r="H646" s="11" t="n">
        <v>14</v>
      </c>
      <c r="I646" s="11" t="n">
        <v>1</v>
      </c>
      <c r="J646" s="11" t="n">
        <v>0</v>
      </c>
      <c r="K646" s="10" t="str">
        <f aca="false">IF(ISNUMBER(J646),IF(J646&lt;10,"ультра-НЧ",IF(J646&lt;100,"НЧ",IF(J646&lt;=1000,"СЧ","ВЧ"))),IF(ISNUMBER(I646),IF(I646&lt;10,"ультра-НЧ",IF(I646&lt;100,"НЧ",IF(I646&lt;=1000,"СЧ","ВЧ"))),"нет данных"))</f>
        <v>ультра-НЧ</v>
      </c>
      <c r="L646" s="12" t="n">
        <f aca="false">IF(AND(ISNUMBER(G646),G646&gt;0,ISNUMBER(I646)),I646/G646,"")</f>
        <v>0.0161290322580645</v>
      </c>
      <c r="M646" s="10" t="s">
        <v>94</v>
      </c>
      <c r="N646" s="10" t="s">
        <v>961</v>
      </c>
      <c r="O646" s="10"/>
    </row>
    <row r="647" customFormat="false" ht="15" hidden="false" customHeight="false" outlineLevel="0" collapsed="false">
      <c r="A647" s="10" t="n">
        <v>646</v>
      </c>
      <c r="B647" s="10" t="s">
        <v>962</v>
      </c>
      <c r="C647" s="10" t="s">
        <v>944</v>
      </c>
      <c r="D647" s="10" t="s">
        <v>945</v>
      </c>
      <c r="E647" s="10" t="s">
        <v>824</v>
      </c>
      <c r="F647" s="10" t="s">
        <v>136</v>
      </c>
      <c r="G647" s="11" t="n">
        <v>222</v>
      </c>
      <c r="H647" s="11"/>
      <c r="I647" s="11"/>
      <c r="J647" s="11"/>
      <c r="K647" s="10" t="str">
        <f aca="false">IF(ISNUMBER(J647),IF(J647&lt;10,"ультра-НЧ",IF(J647&lt;100,"НЧ",IF(J647&lt;=1000,"СЧ","ВЧ"))),IF(ISNUMBER(I647),IF(I647&lt;10,"ультра-НЧ",IF(I647&lt;100,"НЧ",IF(I647&lt;=1000,"СЧ","ВЧ"))),"нет данных"))</f>
        <v>нет данных</v>
      </c>
      <c r="L647" s="12" t="str">
        <f aca="false">IF(AND(ISNUMBER(G647),G647&gt;0,ISNUMBER(I647)),I647/G647,"")</f>
        <v/>
      </c>
      <c r="M647" s="10" t="s">
        <v>112</v>
      </c>
      <c r="N647" s="10" t="s">
        <v>963</v>
      </c>
      <c r="O647" s="10"/>
    </row>
    <row r="648" customFormat="false" ht="15" hidden="false" customHeight="false" outlineLevel="0" collapsed="false">
      <c r="A648" s="10" t="n">
        <v>647</v>
      </c>
      <c r="B648" s="10" t="s">
        <v>964</v>
      </c>
      <c r="C648" s="10" t="s">
        <v>944</v>
      </c>
      <c r="D648" s="10" t="s">
        <v>945</v>
      </c>
      <c r="E648" s="10" t="s">
        <v>824</v>
      </c>
      <c r="F648" s="10" t="s">
        <v>136</v>
      </c>
      <c r="G648" s="11" t="n">
        <v>191</v>
      </c>
      <c r="H648" s="11"/>
      <c r="I648" s="11"/>
      <c r="J648" s="11"/>
      <c r="K648" s="10" t="str">
        <f aca="false">IF(ISNUMBER(J648),IF(J648&lt;10,"ультра-НЧ",IF(J648&lt;100,"НЧ",IF(J648&lt;=1000,"СЧ","ВЧ"))),IF(ISNUMBER(I648),IF(I648&lt;10,"ультра-НЧ",IF(I648&lt;100,"НЧ",IF(I648&lt;=1000,"СЧ","ВЧ"))),"нет данных"))</f>
        <v>нет данных</v>
      </c>
      <c r="L648" s="12" t="str">
        <f aca="false">IF(AND(ISNUMBER(G648),G648&gt;0,ISNUMBER(I648)),I648/G648,"")</f>
        <v/>
      </c>
      <c r="M648" s="10" t="s">
        <v>112</v>
      </c>
      <c r="N648" s="10" t="s">
        <v>965</v>
      </c>
      <c r="O648" s="10"/>
    </row>
    <row r="649" customFormat="false" ht="15" hidden="false" customHeight="false" outlineLevel="0" collapsed="false">
      <c r="A649" s="10" t="n">
        <v>648</v>
      </c>
      <c r="B649" s="10" t="s">
        <v>966</v>
      </c>
      <c r="C649" s="10" t="s">
        <v>944</v>
      </c>
      <c r="D649" s="10" t="s">
        <v>945</v>
      </c>
      <c r="E649" s="10" t="s">
        <v>824</v>
      </c>
      <c r="F649" s="10" t="s">
        <v>136</v>
      </c>
      <c r="G649" s="11" t="n">
        <v>107</v>
      </c>
      <c r="H649" s="11"/>
      <c r="I649" s="11"/>
      <c r="J649" s="11"/>
      <c r="K649" s="10" t="str">
        <f aca="false">IF(ISNUMBER(J649),IF(J649&lt;10,"ультра-НЧ",IF(J649&lt;100,"НЧ",IF(J649&lt;=1000,"СЧ","ВЧ"))),IF(ISNUMBER(I649),IF(I649&lt;10,"ультра-НЧ",IF(I649&lt;100,"НЧ",IF(I649&lt;=1000,"СЧ","ВЧ"))),"нет данных"))</f>
        <v>нет данных</v>
      </c>
      <c r="L649" s="12" t="str">
        <f aca="false">IF(AND(ISNUMBER(G649),G649&gt;0,ISNUMBER(I649)),I649/G649,"")</f>
        <v/>
      </c>
      <c r="M649" s="10" t="s">
        <v>112</v>
      </c>
      <c r="N649" s="10" t="s">
        <v>967</v>
      </c>
      <c r="O649" s="10"/>
    </row>
    <row r="650" customFormat="false" ht="15" hidden="false" customHeight="false" outlineLevel="0" collapsed="false">
      <c r="A650" s="10" t="n">
        <v>649</v>
      </c>
      <c r="B650" s="10" t="s">
        <v>968</v>
      </c>
      <c r="C650" s="10" t="s">
        <v>944</v>
      </c>
      <c r="D650" s="10" t="s">
        <v>945</v>
      </c>
      <c r="E650" s="10" t="s">
        <v>824</v>
      </c>
      <c r="F650" s="10" t="s">
        <v>136</v>
      </c>
      <c r="G650" s="11" t="n">
        <v>72</v>
      </c>
      <c r="H650" s="11"/>
      <c r="I650" s="11"/>
      <c r="J650" s="11"/>
      <c r="K650" s="10" t="str">
        <f aca="false">IF(ISNUMBER(J650),IF(J650&lt;10,"ультра-НЧ",IF(J650&lt;100,"НЧ",IF(J650&lt;=1000,"СЧ","ВЧ"))),IF(ISNUMBER(I650),IF(I650&lt;10,"ультра-НЧ",IF(I650&lt;100,"НЧ",IF(I650&lt;=1000,"СЧ","ВЧ"))),"нет данных"))</f>
        <v>нет данных</v>
      </c>
      <c r="L650" s="12" t="str">
        <f aca="false">IF(AND(ISNUMBER(G650),G650&gt;0,ISNUMBER(I650)),I650/G650,"")</f>
        <v/>
      </c>
      <c r="M650" s="10" t="s">
        <v>94</v>
      </c>
      <c r="N650" s="10" t="s">
        <v>969</v>
      </c>
      <c r="O650" s="10"/>
    </row>
    <row r="651" customFormat="false" ht="15" hidden="false" customHeight="false" outlineLevel="0" collapsed="false">
      <c r="A651" s="10" t="n">
        <v>650</v>
      </c>
      <c r="B651" s="10" t="s">
        <v>970</v>
      </c>
      <c r="C651" s="10" t="s">
        <v>944</v>
      </c>
      <c r="D651" s="10" t="s">
        <v>945</v>
      </c>
      <c r="E651" s="10" t="s">
        <v>824</v>
      </c>
      <c r="F651" s="10" t="s">
        <v>136</v>
      </c>
      <c r="G651" s="11" t="n">
        <v>71</v>
      </c>
      <c r="H651" s="11"/>
      <c r="I651" s="11"/>
      <c r="J651" s="11"/>
      <c r="K651" s="10" t="str">
        <f aca="false">IF(ISNUMBER(J651),IF(J651&lt;10,"ультра-НЧ",IF(J651&lt;100,"НЧ",IF(J651&lt;=1000,"СЧ","ВЧ"))),IF(ISNUMBER(I651),IF(I651&lt;10,"ультра-НЧ",IF(I651&lt;100,"НЧ",IF(I651&lt;=1000,"СЧ","ВЧ"))),"нет данных"))</f>
        <v>нет данных</v>
      </c>
      <c r="L651" s="12" t="str">
        <f aca="false">IF(AND(ISNUMBER(G651),G651&gt;0,ISNUMBER(I651)),I651/G651,"")</f>
        <v/>
      </c>
      <c r="M651" s="10" t="s">
        <v>94</v>
      </c>
      <c r="N651" s="10" t="s">
        <v>971</v>
      </c>
      <c r="O651" s="10"/>
    </row>
    <row r="652" customFormat="false" ht="15" hidden="false" customHeight="false" outlineLevel="0" collapsed="false">
      <c r="A652" s="10" t="n">
        <v>651</v>
      </c>
      <c r="B652" s="10" t="s">
        <v>972</v>
      </c>
      <c r="C652" s="10" t="s">
        <v>944</v>
      </c>
      <c r="D652" s="10" t="s">
        <v>945</v>
      </c>
      <c r="E652" s="10" t="s">
        <v>824</v>
      </c>
      <c r="F652" s="10" t="s">
        <v>136</v>
      </c>
      <c r="G652" s="11" t="n">
        <v>68</v>
      </c>
      <c r="H652" s="11"/>
      <c r="I652" s="11"/>
      <c r="J652" s="11"/>
      <c r="K652" s="10" t="str">
        <f aca="false">IF(ISNUMBER(J652),IF(J652&lt;10,"ультра-НЧ",IF(J652&lt;100,"НЧ",IF(J652&lt;=1000,"СЧ","ВЧ"))),IF(ISNUMBER(I652),IF(I652&lt;10,"ультра-НЧ",IF(I652&lt;100,"НЧ",IF(I652&lt;=1000,"СЧ","ВЧ"))),"нет данных"))</f>
        <v>нет данных</v>
      </c>
      <c r="L652" s="12" t="str">
        <f aca="false">IF(AND(ISNUMBER(G652),G652&gt;0,ISNUMBER(I652)),I652/G652,"")</f>
        <v/>
      </c>
      <c r="M652" s="10" t="s">
        <v>94</v>
      </c>
      <c r="N652" s="10" t="s">
        <v>973</v>
      </c>
      <c r="O652" s="10"/>
    </row>
    <row r="653" customFormat="false" ht="15" hidden="false" customHeight="false" outlineLevel="0" collapsed="false">
      <c r="A653" s="10" t="n">
        <v>652</v>
      </c>
      <c r="B653" s="10" t="s">
        <v>974</v>
      </c>
      <c r="C653" s="10" t="s">
        <v>944</v>
      </c>
      <c r="D653" s="10" t="s">
        <v>945</v>
      </c>
      <c r="E653" s="10" t="s">
        <v>824</v>
      </c>
      <c r="F653" s="10" t="s">
        <v>136</v>
      </c>
      <c r="G653" s="11" t="n">
        <v>67</v>
      </c>
      <c r="H653" s="11"/>
      <c r="I653" s="11"/>
      <c r="J653" s="11"/>
      <c r="K653" s="10" t="str">
        <f aca="false">IF(ISNUMBER(J653),IF(J653&lt;10,"ультра-НЧ",IF(J653&lt;100,"НЧ",IF(J653&lt;=1000,"СЧ","ВЧ"))),IF(ISNUMBER(I653),IF(I653&lt;10,"ультра-НЧ",IF(I653&lt;100,"НЧ",IF(I653&lt;=1000,"СЧ","ВЧ"))),"нет данных"))</f>
        <v>нет данных</v>
      </c>
      <c r="L653" s="12" t="str">
        <f aca="false">IF(AND(ISNUMBER(G653),G653&gt;0,ISNUMBER(I653)),I653/G653,"")</f>
        <v/>
      </c>
      <c r="M653" s="10" t="s">
        <v>94</v>
      </c>
      <c r="N653" s="10" t="s">
        <v>975</v>
      </c>
      <c r="O653" s="10"/>
    </row>
    <row r="654" customFormat="false" ht="15" hidden="false" customHeight="false" outlineLevel="0" collapsed="false">
      <c r="A654" s="10" t="n">
        <v>653</v>
      </c>
      <c r="B654" s="10" t="s">
        <v>976</v>
      </c>
      <c r="C654" s="10" t="s">
        <v>944</v>
      </c>
      <c r="D654" s="10" t="s">
        <v>945</v>
      </c>
      <c r="E654" s="10" t="s">
        <v>824</v>
      </c>
      <c r="F654" s="10" t="s">
        <v>136</v>
      </c>
      <c r="G654" s="11" t="n">
        <v>66</v>
      </c>
      <c r="H654" s="11"/>
      <c r="I654" s="11"/>
      <c r="J654" s="11"/>
      <c r="K654" s="10" t="str">
        <f aca="false">IF(ISNUMBER(J654),IF(J654&lt;10,"ультра-НЧ",IF(J654&lt;100,"НЧ",IF(J654&lt;=1000,"СЧ","ВЧ"))),IF(ISNUMBER(I654),IF(I654&lt;10,"ультра-НЧ",IF(I654&lt;100,"НЧ",IF(I654&lt;=1000,"СЧ","ВЧ"))),"нет данных"))</f>
        <v>нет данных</v>
      </c>
      <c r="L654" s="12" t="str">
        <f aca="false">IF(AND(ISNUMBER(G654),G654&gt;0,ISNUMBER(I654)),I654/G654,"")</f>
        <v/>
      </c>
      <c r="M654" s="10" t="s">
        <v>94</v>
      </c>
      <c r="N654" s="10" t="s">
        <v>977</v>
      </c>
      <c r="O654" s="10"/>
    </row>
    <row r="655" customFormat="false" ht="15" hidden="false" customHeight="false" outlineLevel="0" collapsed="false">
      <c r="A655" s="10" t="n">
        <v>654</v>
      </c>
      <c r="B655" s="10" t="s">
        <v>978</v>
      </c>
      <c r="C655" s="10" t="s">
        <v>944</v>
      </c>
      <c r="D655" s="10" t="s">
        <v>945</v>
      </c>
      <c r="E655" s="10" t="s">
        <v>824</v>
      </c>
      <c r="F655" s="10" t="s">
        <v>136</v>
      </c>
      <c r="G655" s="11" t="n">
        <v>66</v>
      </c>
      <c r="H655" s="11"/>
      <c r="I655" s="11"/>
      <c r="J655" s="11"/>
      <c r="K655" s="10" t="str">
        <f aca="false">IF(ISNUMBER(J655),IF(J655&lt;10,"ультра-НЧ",IF(J655&lt;100,"НЧ",IF(J655&lt;=1000,"СЧ","ВЧ"))),IF(ISNUMBER(I655),IF(I655&lt;10,"ультра-НЧ",IF(I655&lt;100,"НЧ",IF(I655&lt;=1000,"СЧ","ВЧ"))),"нет данных"))</f>
        <v>нет данных</v>
      </c>
      <c r="L655" s="12" t="str">
        <f aca="false">IF(AND(ISNUMBER(G655),G655&gt;0,ISNUMBER(I655)),I655/G655,"")</f>
        <v/>
      </c>
      <c r="M655" s="10" t="s">
        <v>94</v>
      </c>
      <c r="N655" s="10" t="s">
        <v>979</v>
      </c>
      <c r="O655" s="10"/>
    </row>
    <row r="656" customFormat="false" ht="15" hidden="false" customHeight="false" outlineLevel="0" collapsed="false">
      <c r="A656" s="10" t="n">
        <v>655</v>
      </c>
      <c r="B656" s="10" t="s">
        <v>980</v>
      </c>
      <c r="C656" s="10" t="s">
        <v>944</v>
      </c>
      <c r="D656" s="10" t="s">
        <v>945</v>
      </c>
      <c r="E656" s="10" t="s">
        <v>824</v>
      </c>
      <c r="F656" s="10" t="s">
        <v>136</v>
      </c>
      <c r="G656" s="11" t="n">
        <v>54</v>
      </c>
      <c r="H656" s="11"/>
      <c r="I656" s="11"/>
      <c r="J656" s="11"/>
      <c r="K656" s="10" t="str">
        <f aca="false">IF(ISNUMBER(J656),IF(J656&lt;10,"ультра-НЧ",IF(J656&lt;100,"НЧ",IF(J656&lt;=1000,"СЧ","ВЧ"))),IF(ISNUMBER(I656),IF(I656&lt;10,"ультра-НЧ",IF(I656&lt;100,"НЧ",IF(I656&lt;=1000,"СЧ","ВЧ"))),"нет данных"))</f>
        <v>нет данных</v>
      </c>
      <c r="L656" s="12" t="str">
        <f aca="false">IF(AND(ISNUMBER(G656),G656&gt;0,ISNUMBER(I656)),I656/G656,"")</f>
        <v/>
      </c>
      <c r="M656" s="10" t="s">
        <v>94</v>
      </c>
      <c r="N656" s="10" t="s">
        <v>981</v>
      </c>
      <c r="O656" s="10"/>
    </row>
    <row r="657" customFormat="false" ht="15" hidden="false" customHeight="false" outlineLevel="0" collapsed="false">
      <c r="A657" s="10" t="n">
        <v>656</v>
      </c>
      <c r="B657" s="10" t="s">
        <v>982</v>
      </c>
      <c r="C657" s="10" t="s">
        <v>944</v>
      </c>
      <c r="D657" s="10" t="s">
        <v>945</v>
      </c>
      <c r="E657" s="10" t="s">
        <v>824</v>
      </c>
      <c r="F657" s="10" t="s">
        <v>136</v>
      </c>
      <c r="G657" s="11" t="n">
        <v>54</v>
      </c>
      <c r="H657" s="11"/>
      <c r="I657" s="11"/>
      <c r="J657" s="11"/>
      <c r="K657" s="10" t="str">
        <f aca="false">IF(ISNUMBER(J657),IF(J657&lt;10,"ультра-НЧ",IF(J657&lt;100,"НЧ",IF(J657&lt;=1000,"СЧ","ВЧ"))),IF(ISNUMBER(I657),IF(I657&lt;10,"ультра-НЧ",IF(I657&lt;100,"НЧ",IF(I657&lt;=1000,"СЧ","ВЧ"))),"нет данных"))</f>
        <v>нет данных</v>
      </c>
      <c r="L657" s="12" t="str">
        <f aca="false">IF(AND(ISNUMBER(G657),G657&gt;0,ISNUMBER(I657)),I657/G657,"")</f>
        <v/>
      </c>
      <c r="M657" s="10" t="s">
        <v>94</v>
      </c>
      <c r="N657" s="10" t="s">
        <v>983</v>
      </c>
      <c r="O657" s="10"/>
    </row>
    <row r="658" customFormat="false" ht="15" hidden="false" customHeight="false" outlineLevel="0" collapsed="false">
      <c r="A658" s="10" t="n">
        <v>657</v>
      </c>
      <c r="B658" s="10" t="s">
        <v>984</v>
      </c>
      <c r="C658" s="10" t="s">
        <v>944</v>
      </c>
      <c r="D658" s="10" t="s">
        <v>945</v>
      </c>
      <c r="E658" s="10" t="s">
        <v>824</v>
      </c>
      <c r="F658" s="10" t="s">
        <v>136</v>
      </c>
      <c r="G658" s="11" t="n">
        <v>52</v>
      </c>
      <c r="H658" s="11"/>
      <c r="I658" s="11"/>
      <c r="J658" s="11"/>
      <c r="K658" s="10" t="str">
        <f aca="false">IF(ISNUMBER(J658),IF(J658&lt;10,"ультра-НЧ",IF(J658&lt;100,"НЧ",IF(J658&lt;=1000,"СЧ","ВЧ"))),IF(ISNUMBER(I658),IF(I658&lt;10,"ультра-НЧ",IF(I658&lt;100,"НЧ",IF(I658&lt;=1000,"СЧ","ВЧ"))),"нет данных"))</f>
        <v>нет данных</v>
      </c>
      <c r="L658" s="12" t="str">
        <f aca="false">IF(AND(ISNUMBER(G658),G658&gt;0,ISNUMBER(I658)),I658/G658,"")</f>
        <v/>
      </c>
      <c r="M658" s="10" t="s">
        <v>94</v>
      </c>
      <c r="N658" s="10" t="s">
        <v>985</v>
      </c>
      <c r="O658" s="10"/>
    </row>
    <row r="659" customFormat="false" ht="15" hidden="false" customHeight="false" outlineLevel="0" collapsed="false">
      <c r="A659" s="10" t="n">
        <v>658</v>
      </c>
      <c r="B659" s="10" t="s">
        <v>986</v>
      </c>
      <c r="C659" s="10" t="s">
        <v>944</v>
      </c>
      <c r="D659" s="10" t="s">
        <v>945</v>
      </c>
      <c r="E659" s="10" t="s">
        <v>824</v>
      </c>
      <c r="F659" s="10" t="s">
        <v>136</v>
      </c>
      <c r="G659" s="11" t="n">
        <v>51</v>
      </c>
      <c r="H659" s="11"/>
      <c r="I659" s="11"/>
      <c r="J659" s="11"/>
      <c r="K659" s="10" t="str">
        <f aca="false">IF(ISNUMBER(J659),IF(J659&lt;10,"ультра-НЧ",IF(J659&lt;100,"НЧ",IF(J659&lt;=1000,"СЧ","ВЧ"))),IF(ISNUMBER(I659),IF(I659&lt;10,"ультра-НЧ",IF(I659&lt;100,"НЧ",IF(I659&lt;=1000,"СЧ","ВЧ"))),"нет данных"))</f>
        <v>нет данных</v>
      </c>
      <c r="L659" s="12" t="str">
        <f aca="false">IF(AND(ISNUMBER(G659),G659&gt;0,ISNUMBER(I659)),I659/G659,"")</f>
        <v/>
      </c>
      <c r="M659" s="10" t="s">
        <v>94</v>
      </c>
      <c r="N659" s="10" t="s">
        <v>987</v>
      </c>
      <c r="O659" s="10"/>
    </row>
    <row r="660" customFormat="false" ht="15" hidden="false" customHeight="false" outlineLevel="0" collapsed="false">
      <c r="A660" s="10" t="n">
        <v>659</v>
      </c>
      <c r="B660" s="10" t="s">
        <v>988</v>
      </c>
      <c r="C660" s="10" t="s">
        <v>944</v>
      </c>
      <c r="D660" s="10" t="s">
        <v>945</v>
      </c>
      <c r="E660" s="10" t="s">
        <v>824</v>
      </c>
      <c r="F660" s="10" t="s">
        <v>136</v>
      </c>
      <c r="G660" s="11" t="n">
        <v>51</v>
      </c>
      <c r="H660" s="11"/>
      <c r="I660" s="11"/>
      <c r="J660" s="11"/>
      <c r="K660" s="10" t="str">
        <f aca="false">IF(ISNUMBER(J660),IF(J660&lt;10,"ультра-НЧ",IF(J660&lt;100,"НЧ",IF(J660&lt;=1000,"СЧ","ВЧ"))),IF(ISNUMBER(I660),IF(I660&lt;10,"ультра-НЧ",IF(I660&lt;100,"НЧ",IF(I660&lt;=1000,"СЧ","ВЧ"))),"нет данных"))</f>
        <v>нет данных</v>
      </c>
      <c r="L660" s="12" t="str">
        <f aca="false">IF(AND(ISNUMBER(G660),G660&gt;0,ISNUMBER(I660)),I660/G660,"")</f>
        <v/>
      </c>
      <c r="M660" s="10" t="s">
        <v>94</v>
      </c>
      <c r="N660" s="10" t="s">
        <v>989</v>
      </c>
      <c r="O660" s="10"/>
    </row>
    <row r="661" customFormat="false" ht="15" hidden="false" customHeight="false" outlineLevel="0" collapsed="false">
      <c r="A661" s="10" t="n">
        <v>660</v>
      </c>
      <c r="B661" s="10" t="s">
        <v>990</v>
      </c>
      <c r="C661" s="10" t="s">
        <v>944</v>
      </c>
      <c r="D661" s="10" t="s">
        <v>945</v>
      </c>
      <c r="E661" s="10" t="s">
        <v>824</v>
      </c>
      <c r="F661" s="10" t="s">
        <v>136</v>
      </c>
      <c r="G661" s="11" t="n">
        <v>48</v>
      </c>
      <c r="H661" s="11"/>
      <c r="I661" s="11"/>
      <c r="J661" s="11"/>
      <c r="K661" s="10" t="str">
        <f aca="false">IF(ISNUMBER(J661),IF(J661&lt;10,"ультра-НЧ",IF(J661&lt;100,"НЧ",IF(J661&lt;=1000,"СЧ","ВЧ"))),IF(ISNUMBER(I661),IF(I661&lt;10,"ультра-НЧ",IF(I661&lt;100,"НЧ",IF(I661&lt;=1000,"СЧ","ВЧ"))),"нет данных"))</f>
        <v>нет данных</v>
      </c>
      <c r="L661" s="12" t="str">
        <f aca="false">IF(AND(ISNUMBER(G661),G661&gt;0,ISNUMBER(I661)),I661/G661,"")</f>
        <v/>
      </c>
      <c r="M661" s="10" t="s">
        <v>94</v>
      </c>
      <c r="N661" s="10" t="s">
        <v>991</v>
      </c>
      <c r="O661" s="10"/>
    </row>
    <row r="662" customFormat="false" ht="15" hidden="false" customHeight="false" outlineLevel="0" collapsed="false">
      <c r="A662" s="10" t="n">
        <v>661</v>
      </c>
      <c r="B662" s="10" t="s">
        <v>992</v>
      </c>
      <c r="C662" s="10" t="s">
        <v>944</v>
      </c>
      <c r="D662" s="10" t="s">
        <v>945</v>
      </c>
      <c r="E662" s="10" t="s">
        <v>824</v>
      </c>
      <c r="F662" s="10" t="s">
        <v>136</v>
      </c>
      <c r="G662" s="11" t="n">
        <v>47</v>
      </c>
      <c r="H662" s="11"/>
      <c r="I662" s="11"/>
      <c r="J662" s="11"/>
      <c r="K662" s="10" t="str">
        <f aca="false">IF(ISNUMBER(J662),IF(J662&lt;10,"ультра-НЧ",IF(J662&lt;100,"НЧ",IF(J662&lt;=1000,"СЧ","ВЧ"))),IF(ISNUMBER(I662),IF(I662&lt;10,"ультра-НЧ",IF(I662&lt;100,"НЧ",IF(I662&lt;=1000,"СЧ","ВЧ"))),"нет данных"))</f>
        <v>нет данных</v>
      </c>
      <c r="L662" s="12" t="str">
        <f aca="false">IF(AND(ISNUMBER(G662),G662&gt;0,ISNUMBER(I662)),I662/G662,"")</f>
        <v/>
      </c>
      <c r="M662" s="10" t="s">
        <v>94</v>
      </c>
      <c r="N662" s="10" t="s">
        <v>993</v>
      </c>
      <c r="O662" s="10"/>
    </row>
    <row r="663" customFormat="false" ht="15" hidden="false" customHeight="false" outlineLevel="0" collapsed="false">
      <c r="A663" s="10" t="n">
        <v>662</v>
      </c>
      <c r="B663" s="10" t="s">
        <v>994</v>
      </c>
      <c r="C663" s="10" t="s">
        <v>944</v>
      </c>
      <c r="D663" s="10" t="s">
        <v>945</v>
      </c>
      <c r="E663" s="10" t="s">
        <v>824</v>
      </c>
      <c r="F663" s="10" t="s">
        <v>136</v>
      </c>
      <c r="G663" s="11" t="n">
        <v>43</v>
      </c>
      <c r="H663" s="11"/>
      <c r="I663" s="11"/>
      <c r="J663" s="11"/>
      <c r="K663" s="10" t="str">
        <f aca="false">IF(ISNUMBER(J663),IF(J663&lt;10,"ультра-НЧ",IF(J663&lt;100,"НЧ",IF(J663&lt;=1000,"СЧ","ВЧ"))),IF(ISNUMBER(I663),IF(I663&lt;10,"ультра-НЧ",IF(I663&lt;100,"НЧ",IF(I663&lt;=1000,"СЧ","ВЧ"))),"нет данных"))</f>
        <v>нет данных</v>
      </c>
      <c r="L663" s="12" t="str">
        <f aca="false">IF(AND(ISNUMBER(G663),G663&gt;0,ISNUMBER(I663)),I663/G663,"")</f>
        <v/>
      </c>
      <c r="M663" s="10" t="s">
        <v>94</v>
      </c>
      <c r="N663" s="10" t="s">
        <v>995</v>
      </c>
      <c r="O663" s="10"/>
    </row>
    <row r="664" customFormat="false" ht="15" hidden="false" customHeight="false" outlineLevel="0" collapsed="false">
      <c r="A664" s="10" t="n">
        <v>663</v>
      </c>
      <c r="B664" s="10" t="s">
        <v>996</v>
      </c>
      <c r="C664" s="10" t="s">
        <v>944</v>
      </c>
      <c r="D664" s="10" t="s">
        <v>945</v>
      </c>
      <c r="E664" s="10" t="s">
        <v>824</v>
      </c>
      <c r="F664" s="10" t="s">
        <v>136</v>
      </c>
      <c r="G664" s="11" t="n">
        <v>42</v>
      </c>
      <c r="H664" s="11"/>
      <c r="I664" s="11"/>
      <c r="J664" s="11"/>
      <c r="K664" s="10" t="str">
        <f aca="false">IF(ISNUMBER(J664),IF(J664&lt;10,"ультра-НЧ",IF(J664&lt;100,"НЧ",IF(J664&lt;=1000,"СЧ","ВЧ"))),IF(ISNUMBER(I664),IF(I664&lt;10,"ультра-НЧ",IF(I664&lt;100,"НЧ",IF(I664&lt;=1000,"СЧ","ВЧ"))),"нет данных"))</f>
        <v>нет данных</v>
      </c>
      <c r="L664" s="12" t="str">
        <f aca="false">IF(AND(ISNUMBER(G664),G664&gt;0,ISNUMBER(I664)),I664/G664,"")</f>
        <v/>
      </c>
      <c r="M664" s="10" t="s">
        <v>94</v>
      </c>
      <c r="N664" s="10" t="s">
        <v>997</v>
      </c>
      <c r="O664" s="10"/>
    </row>
    <row r="665" customFormat="false" ht="15" hidden="false" customHeight="false" outlineLevel="0" collapsed="false">
      <c r="A665" s="10" t="n">
        <v>664</v>
      </c>
      <c r="B665" s="10" t="s">
        <v>998</v>
      </c>
      <c r="C665" s="10" t="s">
        <v>944</v>
      </c>
      <c r="D665" s="10" t="s">
        <v>945</v>
      </c>
      <c r="E665" s="10" t="s">
        <v>824</v>
      </c>
      <c r="F665" s="10" t="s">
        <v>136</v>
      </c>
      <c r="G665" s="11" t="n">
        <v>39</v>
      </c>
      <c r="H665" s="11"/>
      <c r="I665" s="11"/>
      <c r="J665" s="11"/>
      <c r="K665" s="10" t="str">
        <f aca="false">IF(ISNUMBER(J665),IF(J665&lt;10,"ультра-НЧ",IF(J665&lt;100,"НЧ",IF(J665&lt;=1000,"СЧ","ВЧ"))),IF(ISNUMBER(I665),IF(I665&lt;10,"ультра-НЧ",IF(I665&lt;100,"НЧ",IF(I665&lt;=1000,"СЧ","ВЧ"))),"нет данных"))</f>
        <v>нет данных</v>
      </c>
      <c r="L665" s="12" t="str">
        <f aca="false">IF(AND(ISNUMBER(G665),G665&gt;0,ISNUMBER(I665)),I665/G665,"")</f>
        <v/>
      </c>
      <c r="M665" s="10" t="s">
        <v>94</v>
      </c>
      <c r="N665" s="10" t="s">
        <v>999</v>
      </c>
      <c r="O665" s="10"/>
    </row>
    <row r="666" customFormat="false" ht="15" hidden="false" customHeight="false" outlineLevel="0" collapsed="false">
      <c r="A666" s="10" t="n">
        <v>665</v>
      </c>
      <c r="B666" s="10" t="s">
        <v>1000</v>
      </c>
      <c r="C666" s="10" t="s">
        <v>944</v>
      </c>
      <c r="D666" s="10" t="s">
        <v>945</v>
      </c>
      <c r="E666" s="10" t="s">
        <v>824</v>
      </c>
      <c r="F666" s="10" t="s">
        <v>136</v>
      </c>
      <c r="G666" s="11" t="n">
        <v>39</v>
      </c>
      <c r="H666" s="11"/>
      <c r="I666" s="11"/>
      <c r="J666" s="11"/>
      <c r="K666" s="10" t="str">
        <f aca="false">IF(ISNUMBER(J666),IF(J666&lt;10,"ультра-НЧ",IF(J666&lt;100,"НЧ",IF(J666&lt;=1000,"СЧ","ВЧ"))),IF(ISNUMBER(I666),IF(I666&lt;10,"ультра-НЧ",IF(I666&lt;100,"НЧ",IF(I666&lt;=1000,"СЧ","ВЧ"))),"нет данных"))</f>
        <v>нет данных</v>
      </c>
      <c r="L666" s="12" t="str">
        <f aca="false">IF(AND(ISNUMBER(G666),G666&gt;0,ISNUMBER(I666)),I666/G666,"")</f>
        <v/>
      </c>
      <c r="M666" s="10" t="s">
        <v>94</v>
      </c>
      <c r="N666" s="10" t="s">
        <v>1001</v>
      </c>
      <c r="O666" s="10"/>
    </row>
    <row r="667" customFormat="false" ht="15" hidden="false" customHeight="false" outlineLevel="0" collapsed="false">
      <c r="A667" s="10" t="n">
        <v>666</v>
      </c>
      <c r="B667" s="10" t="s">
        <v>1002</v>
      </c>
      <c r="C667" s="10" t="s">
        <v>944</v>
      </c>
      <c r="D667" s="10" t="s">
        <v>945</v>
      </c>
      <c r="E667" s="10" t="s">
        <v>824</v>
      </c>
      <c r="F667" s="10" t="s">
        <v>136</v>
      </c>
      <c r="G667" s="11" t="n">
        <v>35</v>
      </c>
      <c r="H667" s="11"/>
      <c r="I667" s="11"/>
      <c r="J667" s="11"/>
      <c r="K667" s="10" t="str">
        <f aca="false">IF(ISNUMBER(J667),IF(J667&lt;10,"ультра-НЧ",IF(J667&lt;100,"НЧ",IF(J667&lt;=1000,"СЧ","ВЧ"))),IF(ISNUMBER(I667),IF(I667&lt;10,"ультра-НЧ",IF(I667&lt;100,"НЧ",IF(I667&lt;=1000,"СЧ","ВЧ"))),"нет данных"))</f>
        <v>нет данных</v>
      </c>
      <c r="L667" s="12" t="str">
        <f aca="false">IF(AND(ISNUMBER(G667),G667&gt;0,ISNUMBER(I667)),I667/G667,"")</f>
        <v/>
      </c>
      <c r="M667" s="10" t="s">
        <v>94</v>
      </c>
      <c r="N667" s="10" t="s">
        <v>1003</v>
      </c>
      <c r="O667" s="10"/>
    </row>
    <row r="668" customFormat="false" ht="15" hidden="false" customHeight="false" outlineLevel="0" collapsed="false">
      <c r="A668" s="10" t="n">
        <v>667</v>
      </c>
      <c r="B668" s="10" t="s">
        <v>1004</v>
      </c>
      <c r="C668" s="10" t="s">
        <v>944</v>
      </c>
      <c r="D668" s="10" t="s">
        <v>945</v>
      </c>
      <c r="E668" s="10" t="s">
        <v>824</v>
      </c>
      <c r="F668" s="10" t="s">
        <v>136</v>
      </c>
      <c r="G668" s="11" t="n">
        <v>33</v>
      </c>
      <c r="H668" s="11"/>
      <c r="I668" s="11"/>
      <c r="J668" s="11"/>
      <c r="K668" s="10" t="str">
        <f aca="false">IF(ISNUMBER(J668),IF(J668&lt;10,"ультра-НЧ",IF(J668&lt;100,"НЧ",IF(J668&lt;=1000,"СЧ","ВЧ"))),IF(ISNUMBER(I668),IF(I668&lt;10,"ультра-НЧ",IF(I668&lt;100,"НЧ",IF(I668&lt;=1000,"СЧ","ВЧ"))),"нет данных"))</f>
        <v>нет данных</v>
      </c>
      <c r="L668" s="12" t="str">
        <f aca="false">IF(AND(ISNUMBER(G668),G668&gt;0,ISNUMBER(I668)),I668/G668,"")</f>
        <v/>
      </c>
      <c r="M668" s="10" t="s">
        <v>94</v>
      </c>
      <c r="N668" s="10" t="s">
        <v>1005</v>
      </c>
      <c r="O668" s="10"/>
    </row>
    <row r="669" customFormat="false" ht="15" hidden="false" customHeight="false" outlineLevel="0" collapsed="false">
      <c r="A669" s="10" t="n">
        <v>668</v>
      </c>
      <c r="B669" s="10" t="s">
        <v>1006</v>
      </c>
      <c r="C669" s="10" t="s">
        <v>944</v>
      </c>
      <c r="D669" s="10" t="s">
        <v>945</v>
      </c>
      <c r="E669" s="10" t="s">
        <v>824</v>
      </c>
      <c r="F669" s="10" t="s">
        <v>136</v>
      </c>
      <c r="G669" s="11" t="n">
        <v>33</v>
      </c>
      <c r="H669" s="11"/>
      <c r="I669" s="11"/>
      <c r="J669" s="11"/>
      <c r="K669" s="10" t="str">
        <f aca="false">IF(ISNUMBER(J669),IF(J669&lt;10,"ультра-НЧ",IF(J669&lt;100,"НЧ",IF(J669&lt;=1000,"СЧ","ВЧ"))),IF(ISNUMBER(I669),IF(I669&lt;10,"ультра-НЧ",IF(I669&lt;100,"НЧ",IF(I669&lt;=1000,"СЧ","ВЧ"))),"нет данных"))</f>
        <v>нет данных</v>
      </c>
      <c r="L669" s="12" t="str">
        <f aca="false">IF(AND(ISNUMBER(G669),G669&gt;0,ISNUMBER(I669)),I669/G669,"")</f>
        <v/>
      </c>
      <c r="M669" s="10" t="s">
        <v>94</v>
      </c>
      <c r="N669" s="10" t="s">
        <v>1007</v>
      </c>
      <c r="O669" s="10"/>
    </row>
    <row r="670" customFormat="false" ht="15" hidden="false" customHeight="false" outlineLevel="0" collapsed="false">
      <c r="A670" s="10" t="n">
        <v>669</v>
      </c>
      <c r="B670" s="10" t="s">
        <v>1008</v>
      </c>
      <c r="C670" s="10" t="s">
        <v>944</v>
      </c>
      <c r="D670" s="10" t="s">
        <v>945</v>
      </c>
      <c r="E670" s="10" t="s">
        <v>824</v>
      </c>
      <c r="F670" s="10" t="s">
        <v>136</v>
      </c>
      <c r="G670" s="11" t="n">
        <v>33</v>
      </c>
      <c r="H670" s="11"/>
      <c r="I670" s="11"/>
      <c r="J670" s="11"/>
      <c r="K670" s="10" t="str">
        <f aca="false">IF(ISNUMBER(J670),IF(J670&lt;10,"ультра-НЧ",IF(J670&lt;100,"НЧ",IF(J670&lt;=1000,"СЧ","ВЧ"))),IF(ISNUMBER(I670),IF(I670&lt;10,"ультра-НЧ",IF(I670&lt;100,"НЧ",IF(I670&lt;=1000,"СЧ","ВЧ"))),"нет данных"))</f>
        <v>нет данных</v>
      </c>
      <c r="L670" s="12" t="str">
        <f aca="false">IF(AND(ISNUMBER(G670),G670&gt;0,ISNUMBER(I670)),I670/G670,"")</f>
        <v/>
      </c>
      <c r="M670" s="10" t="s">
        <v>94</v>
      </c>
      <c r="N670" s="10" t="s">
        <v>1009</v>
      </c>
      <c r="O670" s="10"/>
    </row>
    <row r="671" customFormat="false" ht="15" hidden="false" customHeight="false" outlineLevel="0" collapsed="false">
      <c r="A671" s="10" t="n">
        <v>670</v>
      </c>
      <c r="B671" s="10" t="s">
        <v>1010</v>
      </c>
      <c r="C671" s="10" t="s">
        <v>944</v>
      </c>
      <c r="D671" s="10" t="s">
        <v>945</v>
      </c>
      <c r="E671" s="10" t="s">
        <v>824</v>
      </c>
      <c r="F671" s="10" t="s">
        <v>136</v>
      </c>
      <c r="G671" s="11" t="n">
        <v>31</v>
      </c>
      <c r="H671" s="11"/>
      <c r="I671" s="11"/>
      <c r="J671" s="11"/>
      <c r="K671" s="10" t="str">
        <f aca="false">IF(ISNUMBER(J671),IF(J671&lt;10,"ультра-НЧ",IF(J671&lt;100,"НЧ",IF(J671&lt;=1000,"СЧ","ВЧ"))),IF(ISNUMBER(I671),IF(I671&lt;10,"ультра-НЧ",IF(I671&lt;100,"НЧ",IF(I671&lt;=1000,"СЧ","ВЧ"))),"нет данных"))</f>
        <v>нет данных</v>
      </c>
      <c r="L671" s="12" t="str">
        <f aca="false">IF(AND(ISNUMBER(G671),G671&gt;0,ISNUMBER(I671)),I671/G671,"")</f>
        <v/>
      </c>
      <c r="M671" s="10" t="s">
        <v>94</v>
      </c>
      <c r="N671" s="10" t="s">
        <v>1011</v>
      </c>
      <c r="O671" s="10"/>
    </row>
    <row r="672" customFormat="false" ht="15" hidden="false" customHeight="false" outlineLevel="0" collapsed="false">
      <c r="A672" s="10" t="n">
        <v>671</v>
      </c>
      <c r="B672" s="10" t="s">
        <v>1012</v>
      </c>
      <c r="C672" s="10" t="s">
        <v>944</v>
      </c>
      <c r="D672" s="10" t="s">
        <v>945</v>
      </c>
      <c r="E672" s="10" t="s">
        <v>824</v>
      </c>
      <c r="F672" s="10" t="s">
        <v>136</v>
      </c>
      <c r="G672" s="11" t="n">
        <v>31</v>
      </c>
      <c r="H672" s="11"/>
      <c r="I672" s="11"/>
      <c r="J672" s="11"/>
      <c r="K672" s="10" t="str">
        <f aca="false">IF(ISNUMBER(J672),IF(J672&lt;10,"ультра-НЧ",IF(J672&lt;100,"НЧ",IF(J672&lt;=1000,"СЧ","ВЧ"))),IF(ISNUMBER(I672),IF(I672&lt;10,"ультра-НЧ",IF(I672&lt;100,"НЧ",IF(I672&lt;=1000,"СЧ","ВЧ"))),"нет данных"))</f>
        <v>нет данных</v>
      </c>
      <c r="L672" s="12" t="str">
        <f aca="false">IF(AND(ISNUMBER(G672),G672&gt;0,ISNUMBER(I672)),I672/G672,"")</f>
        <v/>
      </c>
      <c r="M672" s="10" t="s">
        <v>94</v>
      </c>
      <c r="N672" s="10" t="s">
        <v>1013</v>
      </c>
      <c r="O672" s="10"/>
    </row>
    <row r="673" customFormat="false" ht="15" hidden="false" customHeight="false" outlineLevel="0" collapsed="false">
      <c r="A673" s="10" t="n">
        <v>672</v>
      </c>
      <c r="B673" s="10" t="s">
        <v>1014</v>
      </c>
      <c r="C673" s="10" t="s">
        <v>944</v>
      </c>
      <c r="D673" s="10" t="s">
        <v>945</v>
      </c>
      <c r="E673" s="10" t="s">
        <v>824</v>
      </c>
      <c r="F673" s="10" t="s">
        <v>136</v>
      </c>
      <c r="G673" s="11" t="n">
        <v>28</v>
      </c>
      <c r="H673" s="11"/>
      <c r="I673" s="11"/>
      <c r="J673" s="11"/>
      <c r="K673" s="10" t="str">
        <f aca="false">IF(ISNUMBER(J673),IF(J673&lt;10,"ультра-НЧ",IF(J673&lt;100,"НЧ",IF(J673&lt;=1000,"СЧ","ВЧ"))),IF(ISNUMBER(I673),IF(I673&lt;10,"ультра-НЧ",IF(I673&lt;100,"НЧ",IF(I673&lt;=1000,"СЧ","ВЧ"))),"нет данных"))</f>
        <v>нет данных</v>
      </c>
      <c r="L673" s="12" t="str">
        <f aca="false">IF(AND(ISNUMBER(G673),G673&gt;0,ISNUMBER(I673)),I673/G673,"")</f>
        <v/>
      </c>
      <c r="M673" s="10" t="s">
        <v>94</v>
      </c>
      <c r="N673" s="10" t="s">
        <v>1015</v>
      </c>
      <c r="O673" s="10"/>
    </row>
    <row r="674" customFormat="false" ht="15" hidden="false" customHeight="false" outlineLevel="0" collapsed="false">
      <c r="A674" s="10" t="n">
        <v>673</v>
      </c>
      <c r="B674" s="10" t="s">
        <v>1016</v>
      </c>
      <c r="C674" s="10" t="s">
        <v>944</v>
      </c>
      <c r="D674" s="10" t="s">
        <v>945</v>
      </c>
      <c r="E674" s="10" t="s">
        <v>824</v>
      </c>
      <c r="F674" s="10" t="s">
        <v>136</v>
      </c>
      <c r="G674" s="11" t="n">
        <v>28</v>
      </c>
      <c r="H674" s="11"/>
      <c r="I674" s="11"/>
      <c r="J674" s="11"/>
      <c r="K674" s="10" t="str">
        <f aca="false">IF(ISNUMBER(J674),IF(J674&lt;10,"ультра-НЧ",IF(J674&lt;100,"НЧ",IF(J674&lt;=1000,"СЧ","ВЧ"))),IF(ISNUMBER(I674),IF(I674&lt;10,"ультра-НЧ",IF(I674&lt;100,"НЧ",IF(I674&lt;=1000,"СЧ","ВЧ"))),"нет данных"))</f>
        <v>нет данных</v>
      </c>
      <c r="L674" s="12" t="str">
        <f aca="false">IF(AND(ISNUMBER(G674),G674&gt;0,ISNUMBER(I674)),I674/G674,"")</f>
        <v/>
      </c>
      <c r="M674" s="10" t="s">
        <v>94</v>
      </c>
      <c r="N674" s="10" t="s">
        <v>1017</v>
      </c>
      <c r="O674" s="10"/>
    </row>
    <row r="675" customFormat="false" ht="15" hidden="false" customHeight="false" outlineLevel="0" collapsed="false">
      <c r="A675" s="10" t="n">
        <v>674</v>
      </c>
      <c r="B675" s="10" t="s">
        <v>1018</v>
      </c>
      <c r="C675" s="10" t="s">
        <v>944</v>
      </c>
      <c r="D675" s="10" t="s">
        <v>945</v>
      </c>
      <c r="E675" s="10" t="s">
        <v>824</v>
      </c>
      <c r="F675" s="10" t="s">
        <v>136</v>
      </c>
      <c r="G675" s="11" t="n">
        <v>26</v>
      </c>
      <c r="H675" s="11"/>
      <c r="I675" s="11"/>
      <c r="J675" s="11"/>
      <c r="K675" s="10" t="str">
        <f aca="false">IF(ISNUMBER(J675),IF(J675&lt;10,"ультра-НЧ",IF(J675&lt;100,"НЧ",IF(J675&lt;=1000,"СЧ","ВЧ"))),IF(ISNUMBER(I675),IF(I675&lt;10,"ультра-НЧ",IF(I675&lt;100,"НЧ",IF(I675&lt;=1000,"СЧ","ВЧ"))),"нет данных"))</f>
        <v>нет данных</v>
      </c>
      <c r="L675" s="12" t="str">
        <f aca="false">IF(AND(ISNUMBER(G675),G675&gt;0,ISNUMBER(I675)),I675/G675,"")</f>
        <v/>
      </c>
      <c r="M675" s="10" t="s">
        <v>94</v>
      </c>
      <c r="N675" s="10" t="s">
        <v>1019</v>
      </c>
      <c r="O675" s="10"/>
    </row>
    <row r="676" customFormat="false" ht="15" hidden="false" customHeight="false" outlineLevel="0" collapsed="false">
      <c r="A676" s="10" t="n">
        <v>675</v>
      </c>
      <c r="B676" s="10" t="s">
        <v>1020</v>
      </c>
      <c r="C676" s="10" t="s">
        <v>944</v>
      </c>
      <c r="D676" s="10" t="s">
        <v>945</v>
      </c>
      <c r="E676" s="10" t="s">
        <v>824</v>
      </c>
      <c r="F676" s="10" t="s">
        <v>136</v>
      </c>
      <c r="G676" s="11" t="n">
        <v>26</v>
      </c>
      <c r="H676" s="11"/>
      <c r="I676" s="11"/>
      <c r="J676" s="11"/>
      <c r="K676" s="10" t="str">
        <f aca="false">IF(ISNUMBER(J676),IF(J676&lt;10,"ультра-НЧ",IF(J676&lt;100,"НЧ",IF(J676&lt;=1000,"СЧ","ВЧ"))),IF(ISNUMBER(I676),IF(I676&lt;10,"ультра-НЧ",IF(I676&lt;100,"НЧ",IF(I676&lt;=1000,"СЧ","ВЧ"))),"нет данных"))</f>
        <v>нет данных</v>
      </c>
      <c r="L676" s="12" t="str">
        <f aca="false">IF(AND(ISNUMBER(G676),G676&gt;0,ISNUMBER(I676)),I676/G676,"")</f>
        <v/>
      </c>
      <c r="M676" s="10" t="s">
        <v>94</v>
      </c>
      <c r="N676" s="10" t="s">
        <v>1021</v>
      </c>
      <c r="O676" s="10"/>
    </row>
    <row r="677" customFormat="false" ht="15" hidden="false" customHeight="false" outlineLevel="0" collapsed="false">
      <c r="A677" s="10" t="n">
        <v>676</v>
      </c>
      <c r="B677" s="10" t="s">
        <v>1022</v>
      </c>
      <c r="C677" s="10" t="s">
        <v>944</v>
      </c>
      <c r="D677" s="10" t="s">
        <v>945</v>
      </c>
      <c r="E677" s="10" t="s">
        <v>824</v>
      </c>
      <c r="F677" s="10" t="s">
        <v>136</v>
      </c>
      <c r="G677" s="11" t="n">
        <v>22</v>
      </c>
      <c r="H677" s="11"/>
      <c r="I677" s="11"/>
      <c r="J677" s="11"/>
      <c r="K677" s="10" t="str">
        <f aca="false">IF(ISNUMBER(J677),IF(J677&lt;10,"ультра-НЧ",IF(J677&lt;100,"НЧ",IF(J677&lt;=1000,"СЧ","ВЧ"))),IF(ISNUMBER(I677),IF(I677&lt;10,"ультра-НЧ",IF(I677&lt;100,"НЧ",IF(I677&lt;=1000,"СЧ","ВЧ"))),"нет данных"))</f>
        <v>нет данных</v>
      </c>
      <c r="L677" s="12" t="str">
        <f aca="false">IF(AND(ISNUMBER(G677),G677&gt;0,ISNUMBER(I677)),I677/G677,"")</f>
        <v/>
      </c>
      <c r="M677" s="10" t="s">
        <v>94</v>
      </c>
      <c r="N677" s="10" t="s">
        <v>1023</v>
      </c>
      <c r="O677" s="10"/>
    </row>
    <row r="678" customFormat="false" ht="15" hidden="false" customHeight="false" outlineLevel="0" collapsed="false">
      <c r="A678" s="10" t="n">
        <v>677</v>
      </c>
      <c r="B678" s="10" t="s">
        <v>1024</v>
      </c>
      <c r="C678" s="10" t="s">
        <v>944</v>
      </c>
      <c r="D678" s="10" t="s">
        <v>945</v>
      </c>
      <c r="E678" s="10" t="s">
        <v>824</v>
      </c>
      <c r="F678" s="10" t="s">
        <v>136</v>
      </c>
      <c r="G678" s="11" t="n">
        <v>21</v>
      </c>
      <c r="H678" s="11"/>
      <c r="I678" s="11"/>
      <c r="J678" s="11"/>
      <c r="K678" s="10" t="str">
        <f aca="false">IF(ISNUMBER(J678),IF(J678&lt;10,"ультра-НЧ",IF(J678&lt;100,"НЧ",IF(J678&lt;=1000,"СЧ","ВЧ"))),IF(ISNUMBER(I678),IF(I678&lt;10,"ультра-НЧ",IF(I678&lt;100,"НЧ",IF(I678&lt;=1000,"СЧ","ВЧ"))),"нет данных"))</f>
        <v>нет данных</v>
      </c>
      <c r="L678" s="12" t="str">
        <f aca="false">IF(AND(ISNUMBER(G678),G678&gt;0,ISNUMBER(I678)),I678/G678,"")</f>
        <v/>
      </c>
      <c r="M678" s="10" t="s">
        <v>94</v>
      </c>
      <c r="N678" s="10" t="s">
        <v>1025</v>
      </c>
      <c r="O678" s="10"/>
    </row>
    <row r="679" customFormat="false" ht="15" hidden="false" customHeight="false" outlineLevel="0" collapsed="false">
      <c r="A679" s="10" t="n">
        <v>678</v>
      </c>
      <c r="B679" s="10" t="s">
        <v>1026</v>
      </c>
      <c r="C679" s="10" t="s">
        <v>944</v>
      </c>
      <c r="D679" s="10" t="s">
        <v>945</v>
      </c>
      <c r="E679" s="10" t="s">
        <v>824</v>
      </c>
      <c r="F679" s="10" t="s">
        <v>136</v>
      </c>
      <c r="G679" s="11" t="n">
        <v>21</v>
      </c>
      <c r="H679" s="11"/>
      <c r="I679" s="11"/>
      <c r="J679" s="11"/>
      <c r="K679" s="10" t="str">
        <f aca="false">IF(ISNUMBER(J679),IF(J679&lt;10,"ультра-НЧ",IF(J679&lt;100,"НЧ",IF(J679&lt;=1000,"СЧ","ВЧ"))),IF(ISNUMBER(I679),IF(I679&lt;10,"ультра-НЧ",IF(I679&lt;100,"НЧ",IF(I679&lt;=1000,"СЧ","ВЧ"))),"нет данных"))</f>
        <v>нет данных</v>
      </c>
      <c r="L679" s="12" t="str">
        <f aca="false">IF(AND(ISNUMBER(G679),G679&gt;0,ISNUMBER(I679)),I679/G679,"")</f>
        <v/>
      </c>
      <c r="M679" s="10" t="s">
        <v>94</v>
      </c>
      <c r="N679" s="10" t="s">
        <v>1027</v>
      </c>
      <c r="O679" s="10"/>
    </row>
    <row r="680" customFormat="false" ht="15" hidden="false" customHeight="false" outlineLevel="0" collapsed="false">
      <c r="A680" s="10" t="n">
        <v>679</v>
      </c>
      <c r="B680" s="10" t="s">
        <v>1028</v>
      </c>
      <c r="C680" s="10" t="s">
        <v>944</v>
      </c>
      <c r="D680" s="10" t="s">
        <v>945</v>
      </c>
      <c r="E680" s="10" t="s">
        <v>824</v>
      </c>
      <c r="F680" s="10" t="s">
        <v>136</v>
      </c>
      <c r="G680" s="11" t="n">
        <v>279</v>
      </c>
      <c r="H680" s="11"/>
      <c r="I680" s="11" t="n">
        <v>5</v>
      </c>
      <c r="J680" s="11"/>
      <c r="K680" s="10" t="str">
        <f aca="false">IF(ISNUMBER(J680),IF(J680&lt;10,"ультра-НЧ",IF(J680&lt;100,"НЧ",IF(J680&lt;=1000,"СЧ","ВЧ"))),IF(ISNUMBER(I680),IF(I680&lt;10,"ультра-НЧ",IF(I680&lt;100,"НЧ",IF(I680&lt;=1000,"СЧ","ВЧ"))),"нет данных"))</f>
        <v>ультра-НЧ</v>
      </c>
      <c r="L680" s="12" t="n">
        <f aca="false">IF(AND(ISNUMBER(G680),G680&gt;0,ISNUMBER(I680)),I680/G680,"")</f>
        <v>0.017921146953405</v>
      </c>
      <c r="M680" s="10" t="s">
        <v>112</v>
      </c>
      <c r="N680" s="10" t="s">
        <v>1029</v>
      </c>
      <c r="O680" s="10"/>
    </row>
    <row r="681" customFormat="false" ht="15" hidden="false" customHeight="false" outlineLevel="0" collapsed="false">
      <c r="A681" s="10" t="n">
        <v>680</v>
      </c>
      <c r="B681" s="10" t="s">
        <v>1030</v>
      </c>
      <c r="C681" s="10" t="s">
        <v>944</v>
      </c>
      <c r="D681" s="10" t="s">
        <v>945</v>
      </c>
      <c r="E681" s="10" t="s">
        <v>824</v>
      </c>
      <c r="F681" s="10" t="s">
        <v>136</v>
      </c>
      <c r="G681" s="11" t="n">
        <v>107</v>
      </c>
      <c r="H681" s="11"/>
      <c r="I681" s="11" t="n">
        <v>5</v>
      </c>
      <c r="J681" s="11"/>
      <c r="K681" s="10" t="str">
        <f aca="false">IF(ISNUMBER(J681),IF(J681&lt;10,"ультра-НЧ",IF(J681&lt;100,"НЧ",IF(J681&lt;=1000,"СЧ","ВЧ"))),IF(ISNUMBER(I681),IF(I681&lt;10,"ультра-НЧ",IF(I681&lt;100,"НЧ",IF(I681&lt;=1000,"СЧ","ВЧ"))),"нет данных"))</f>
        <v>ультра-НЧ</v>
      </c>
      <c r="L681" s="12" t="n">
        <f aca="false">IF(AND(ISNUMBER(G681),G681&gt;0,ISNUMBER(I681)),I681/G681,"")</f>
        <v>0.0467289719626168</v>
      </c>
      <c r="M681" s="10" t="s">
        <v>112</v>
      </c>
      <c r="N681" s="10" t="s">
        <v>1031</v>
      </c>
      <c r="O681" s="10"/>
    </row>
    <row r="682" customFormat="false" ht="15" hidden="false" customHeight="false" outlineLevel="0" collapsed="false">
      <c r="A682" s="10" t="n">
        <v>681</v>
      </c>
      <c r="B682" s="10" t="s">
        <v>1032</v>
      </c>
      <c r="C682" s="10" t="s">
        <v>944</v>
      </c>
      <c r="D682" s="10" t="s">
        <v>945</v>
      </c>
      <c r="E682" s="10" t="s">
        <v>824</v>
      </c>
      <c r="F682" s="10" t="s">
        <v>136</v>
      </c>
      <c r="G682" s="11" t="n">
        <v>290</v>
      </c>
      <c r="H682" s="11"/>
      <c r="I682" s="11" t="n">
        <v>3</v>
      </c>
      <c r="J682" s="11"/>
      <c r="K682" s="10" t="str">
        <f aca="false">IF(ISNUMBER(J682),IF(J682&lt;10,"ультра-НЧ",IF(J682&lt;100,"НЧ",IF(J682&lt;=1000,"СЧ","ВЧ"))),IF(ISNUMBER(I682),IF(I682&lt;10,"ультра-НЧ",IF(I682&lt;100,"НЧ",IF(I682&lt;=1000,"СЧ","ВЧ"))),"нет данных"))</f>
        <v>ультра-НЧ</v>
      </c>
      <c r="L682" s="12" t="n">
        <f aca="false">IF(AND(ISNUMBER(G682),G682&gt;0,ISNUMBER(I682)),I682/G682,"")</f>
        <v>0.0103448275862069</v>
      </c>
      <c r="M682" s="10" t="s">
        <v>112</v>
      </c>
      <c r="N682" s="10" t="s">
        <v>1033</v>
      </c>
      <c r="O682" s="10"/>
    </row>
    <row r="683" customFormat="false" ht="15" hidden="false" customHeight="false" outlineLevel="0" collapsed="false">
      <c r="A683" s="10" t="n">
        <v>682</v>
      </c>
      <c r="B683" s="10" t="s">
        <v>1034</v>
      </c>
      <c r="C683" s="10" t="s">
        <v>944</v>
      </c>
      <c r="D683" s="10" t="s">
        <v>945</v>
      </c>
      <c r="E683" s="10" t="s">
        <v>824</v>
      </c>
      <c r="F683" s="10" t="s">
        <v>136</v>
      </c>
      <c r="G683" s="11" t="n">
        <v>94</v>
      </c>
      <c r="H683" s="11"/>
      <c r="I683" s="11" t="n">
        <v>3</v>
      </c>
      <c r="J683" s="11"/>
      <c r="K683" s="10" t="str">
        <f aca="false">IF(ISNUMBER(J683),IF(J683&lt;10,"ультра-НЧ",IF(J683&lt;100,"НЧ",IF(J683&lt;=1000,"СЧ","ВЧ"))),IF(ISNUMBER(I683),IF(I683&lt;10,"ультра-НЧ",IF(I683&lt;100,"НЧ",IF(I683&lt;=1000,"СЧ","ВЧ"))),"нет данных"))</f>
        <v>ультра-НЧ</v>
      </c>
      <c r="L683" s="12" t="n">
        <f aca="false">IF(AND(ISNUMBER(G683),G683&gt;0,ISNUMBER(I683)),I683/G683,"")</f>
        <v>0.0319148936170213</v>
      </c>
      <c r="M683" s="10" t="s">
        <v>112</v>
      </c>
      <c r="N683" s="10" t="s">
        <v>1035</v>
      </c>
      <c r="O683" s="10"/>
    </row>
    <row r="684" customFormat="false" ht="15" hidden="false" customHeight="false" outlineLevel="0" collapsed="false">
      <c r="A684" s="10" t="n">
        <v>683</v>
      </c>
      <c r="B684" s="10" t="s">
        <v>1036</v>
      </c>
      <c r="C684" s="10" t="s">
        <v>944</v>
      </c>
      <c r="D684" s="10" t="s">
        <v>945</v>
      </c>
      <c r="E684" s="10" t="s">
        <v>824</v>
      </c>
      <c r="F684" s="10" t="s">
        <v>136</v>
      </c>
      <c r="G684" s="11" t="n">
        <v>57</v>
      </c>
      <c r="H684" s="11"/>
      <c r="I684" s="11" t="n">
        <v>3</v>
      </c>
      <c r="J684" s="11"/>
      <c r="K684" s="10" t="str">
        <f aca="false">IF(ISNUMBER(J684),IF(J684&lt;10,"ультра-НЧ",IF(J684&lt;100,"НЧ",IF(J684&lt;=1000,"СЧ","ВЧ"))),IF(ISNUMBER(I684),IF(I684&lt;10,"ультра-НЧ",IF(I684&lt;100,"НЧ",IF(I684&lt;=1000,"СЧ","ВЧ"))),"нет данных"))</f>
        <v>ультра-НЧ</v>
      </c>
      <c r="L684" s="12" t="n">
        <f aca="false">IF(AND(ISNUMBER(G684),G684&gt;0,ISNUMBER(I684)),I684/G684,"")</f>
        <v>0.0526315789473684</v>
      </c>
      <c r="M684" s="10" t="s">
        <v>112</v>
      </c>
      <c r="N684" s="10" t="s">
        <v>1037</v>
      </c>
      <c r="O684" s="10"/>
    </row>
    <row r="685" customFormat="false" ht="15" hidden="false" customHeight="false" outlineLevel="0" collapsed="false">
      <c r="A685" s="10" t="n">
        <v>684</v>
      </c>
      <c r="B685" s="10" t="s">
        <v>1038</v>
      </c>
      <c r="C685" s="10" t="s">
        <v>944</v>
      </c>
      <c r="D685" s="10" t="s">
        <v>945</v>
      </c>
      <c r="E685" s="10" t="s">
        <v>824</v>
      </c>
      <c r="F685" s="10" t="s">
        <v>136</v>
      </c>
      <c r="G685" s="11" t="n">
        <v>19</v>
      </c>
      <c r="H685" s="11"/>
      <c r="I685" s="11" t="n">
        <v>3</v>
      </c>
      <c r="J685" s="11"/>
      <c r="K685" s="10" t="str">
        <f aca="false">IF(ISNUMBER(J685),IF(J685&lt;10,"ультра-НЧ",IF(J685&lt;100,"НЧ",IF(J685&lt;=1000,"СЧ","ВЧ"))),IF(ISNUMBER(I685),IF(I685&lt;10,"ультра-НЧ",IF(I685&lt;100,"НЧ",IF(I685&lt;=1000,"СЧ","ВЧ"))),"нет данных"))</f>
        <v>ультра-НЧ</v>
      </c>
      <c r="L685" s="12" t="n">
        <f aca="false">IF(AND(ISNUMBER(G685),G685&gt;0,ISNUMBER(I685)),I685/G685,"")</f>
        <v>0.157894736842105</v>
      </c>
      <c r="M685" s="10" t="s">
        <v>112</v>
      </c>
      <c r="N685" s="10" t="s">
        <v>1039</v>
      </c>
      <c r="O685" s="10"/>
    </row>
    <row r="686" customFormat="false" ht="15" hidden="false" customHeight="false" outlineLevel="0" collapsed="false">
      <c r="A686" s="10" t="n">
        <v>685</v>
      </c>
      <c r="B686" s="10" t="s">
        <v>1040</v>
      </c>
      <c r="C686" s="10" t="s">
        <v>944</v>
      </c>
      <c r="D686" s="10" t="s">
        <v>945</v>
      </c>
      <c r="E686" s="10" t="s">
        <v>824</v>
      </c>
      <c r="F686" s="10" t="s">
        <v>136</v>
      </c>
      <c r="G686" s="11" t="n">
        <v>32</v>
      </c>
      <c r="H686" s="11"/>
      <c r="I686" s="11" t="n">
        <v>2</v>
      </c>
      <c r="J686" s="11"/>
      <c r="K686" s="10" t="str">
        <f aca="false">IF(ISNUMBER(J686),IF(J686&lt;10,"ультра-НЧ",IF(J686&lt;100,"НЧ",IF(J686&lt;=1000,"СЧ","ВЧ"))),IF(ISNUMBER(I686),IF(I686&lt;10,"ультра-НЧ",IF(I686&lt;100,"НЧ",IF(I686&lt;=1000,"СЧ","ВЧ"))),"нет данных"))</f>
        <v>ультра-НЧ</v>
      </c>
      <c r="L686" s="12" t="n">
        <f aca="false">IF(AND(ISNUMBER(G686),G686&gt;0,ISNUMBER(I686)),I686/G686,"")</f>
        <v>0.0625</v>
      </c>
      <c r="M686" s="10" t="s">
        <v>94</v>
      </c>
      <c r="N686" s="10" t="s">
        <v>1041</v>
      </c>
      <c r="O686" s="10"/>
    </row>
    <row r="687" customFormat="false" ht="15" hidden="false" customHeight="false" outlineLevel="0" collapsed="false">
      <c r="A687" s="10" t="n">
        <v>686</v>
      </c>
      <c r="B687" s="10" t="s">
        <v>1042</v>
      </c>
      <c r="C687" s="10" t="s">
        <v>944</v>
      </c>
      <c r="D687" s="10" t="s">
        <v>945</v>
      </c>
      <c r="E687" s="10" t="s">
        <v>824</v>
      </c>
      <c r="F687" s="10" t="s">
        <v>136</v>
      </c>
      <c r="G687" s="11" t="n">
        <v>24</v>
      </c>
      <c r="H687" s="11"/>
      <c r="I687" s="11" t="n">
        <v>2</v>
      </c>
      <c r="J687" s="11"/>
      <c r="K687" s="10" t="str">
        <f aca="false">IF(ISNUMBER(J687),IF(J687&lt;10,"ультра-НЧ",IF(J687&lt;100,"НЧ",IF(J687&lt;=1000,"СЧ","ВЧ"))),IF(ISNUMBER(I687),IF(I687&lt;10,"ультра-НЧ",IF(I687&lt;100,"НЧ",IF(I687&lt;=1000,"СЧ","ВЧ"))),"нет данных"))</f>
        <v>ультра-НЧ</v>
      </c>
      <c r="L687" s="12" t="n">
        <f aca="false">IF(AND(ISNUMBER(G687),G687&gt;0,ISNUMBER(I687)),I687/G687,"")</f>
        <v>0.0833333333333333</v>
      </c>
      <c r="M687" s="10" t="s">
        <v>94</v>
      </c>
      <c r="N687" s="10" t="s">
        <v>1043</v>
      </c>
      <c r="O687" s="10"/>
    </row>
    <row r="688" customFormat="false" ht="15" hidden="false" customHeight="false" outlineLevel="0" collapsed="false">
      <c r="A688" s="10" t="n">
        <v>687</v>
      </c>
      <c r="B688" s="10" t="s">
        <v>1044</v>
      </c>
      <c r="C688" s="10" t="s">
        <v>944</v>
      </c>
      <c r="D688" s="10" t="s">
        <v>945</v>
      </c>
      <c r="E688" s="10" t="s">
        <v>824</v>
      </c>
      <c r="F688" s="10" t="s">
        <v>136</v>
      </c>
      <c r="G688" s="11" t="n">
        <v>112</v>
      </c>
      <c r="H688" s="11"/>
      <c r="I688" s="11" t="n">
        <v>1</v>
      </c>
      <c r="J688" s="11"/>
      <c r="K688" s="10" t="str">
        <f aca="false">IF(ISNUMBER(J688),IF(J688&lt;10,"ультра-НЧ",IF(J688&lt;100,"НЧ",IF(J688&lt;=1000,"СЧ","ВЧ"))),IF(ISNUMBER(I688),IF(I688&lt;10,"ультра-НЧ",IF(I688&lt;100,"НЧ",IF(I688&lt;=1000,"СЧ","ВЧ"))),"нет данных"))</f>
        <v>ультра-НЧ</v>
      </c>
      <c r="L688" s="12" t="n">
        <f aca="false">IF(AND(ISNUMBER(G688),G688&gt;0,ISNUMBER(I688)),I688/G688,"")</f>
        <v>0.00892857142857143</v>
      </c>
      <c r="M688" s="10" t="s">
        <v>112</v>
      </c>
      <c r="N688" s="10" t="s">
        <v>1045</v>
      </c>
      <c r="O688" s="10"/>
    </row>
    <row r="689" customFormat="false" ht="15" hidden="false" customHeight="false" outlineLevel="0" collapsed="false">
      <c r="A689" s="10" t="n">
        <v>688</v>
      </c>
      <c r="B689" s="10" t="s">
        <v>1046</v>
      </c>
      <c r="C689" s="10" t="s">
        <v>944</v>
      </c>
      <c r="D689" s="10" t="s">
        <v>945</v>
      </c>
      <c r="E689" s="10" t="s">
        <v>824</v>
      </c>
      <c r="F689" s="10" t="s">
        <v>136</v>
      </c>
      <c r="G689" s="11" t="n">
        <v>26</v>
      </c>
      <c r="H689" s="11"/>
      <c r="I689" s="11" t="n">
        <v>1</v>
      </c>
      <c r="J689" s="11"/>
      <c r="K689" s="10" t="str">
        <f aca="false">IF(ISNUMBER(J689),IF(J689&lt;10,"ультра-НЧ",IF(J689&lt;100,"НЧ",IF(J689&lt;=1000,"СЧ","ВЧ"))),IF(ISNUMBER(I689),IF(I689&lt;10,"ультра-НЧ",IF(I689&lt;100,"НЧ",IF(I689&lt;=1000,"СЧ","ВЧ"))),"нет данных"))</f>
        <v>ультра-НЧ</v>
      </c>
      <c r="L689" s="12" t="n">
        <f aca="false">IF(AND(ISNUMBER(G689),G689&gt;0,ISNUMBER(I689)),I689/G689,"")</f>
        <v>0.0384615384615385</v>
      </c>
      <c r="M689" s="10" t="s">
        <v>94</v>
      </c>
      <c r="N689" s="10" t="s">
        <v>1047</v>
      </c>
      <c r="O689" s="10"/>
    </row>
    <row r="690" customFormat="false" ht="15" hidden="false" customHeight="false" outlineLevel="0" collapsed="false">
      <c r="A690" s="10" t="n">
        <v>689</v>
      </c>
      <c r="B690" s="10" t="s">
        <v>1048</v>
      </c>
      <c r="C690" s="10" t="s">
        <v>944</v>
      </c>
      <c r="D690" s="10" t="s">
        <v>945</v>
      </c>
      <c r="E690" s="10" t="s">
        <v>824</v>
      </c>
      <c r="F690" s="10" t="s">
        <v>136</v>
      </c>
      <c r="G690" s="11" t="n">
        <v>24</v>
      </c>
      <c r="H690" s="11"/>
      <c r="I690" s="11" t="n">
        <v>1</v>
      </c>
      <c r="J690" s="11"/>
      <c r="K690" s="10" t="str">
        <f aca="false">IF(ISNUMBER(J690),IF(J690&lt;10,"ультра-НЧ",IF(J690&lt;100,"НЧ",IF(J690&lt;=1000,"СЧ","ВЧ"))),IF(ISNUMBER(I690),IF(I690&lt;10,"ультра-НЧ",IF(I690&lt;100,"НЧ",IF(I690&lt;=1000,"СЧ","ВЧ"))),"нет данных"))</f>
        <v>ультра-НЧ</v>
      </c>
      <c r="L690" s="12" t="n">
        <f aca="false">IF(AND(ISNUMBER(G690),G690&gt;0,ISNUMBER(I690)),I690/G690,"")</f>
        <v>0.0416666666666667</v>
      </c>
      <c r="M690" s="10" t="s">
        <v>94</v>
      </c>
      <c r="N690" s="10" t="s">
        <v>1049</v>
      </c>
      <c r="O690" s="10"/>
    </row>
    <row r="691" customFormat="false" ht="15" hidden="false" customHeight="false" outlineLevel="0" collapsed="false">
      <c r="A691" s="10" t="n">
        <v>690</v>
      </c>
      <c r="B691" s="10" t="s">
        <v>1050</v>
      </c>
      <c r="C691" s="10" t="s">
        <v>944</v>
      </c>
      <c r="D691" s="10" t="s">
        <v>945</v>
      </c>
      <c r="E691" s="10" t="s">
        <v>824</v>
      </c>
      <c r="F691" s="10" t="s">
        <v>136</v>
      </c>
      <c r="G691" s="11" t="n">
        <v>22</v>
      </c>
      <c r="H691" s="11"/>
      <c r="I691" s="11" t="n">
        <v>1</v>
      </c>
      <c r="J691" s="11"/>
      <c r="K691" s="10" t="str">
        <f aca="false">IF(ISNUMBER(J691),IF(J691&lt;10,"ультра-НЧ",IF(J691&lt;100,"НЧ",IF(J691&lt;=1000,"СЧ","ВЧ"))),IF(ISNUMBER(I691),IF(I691&lt;10,"ультра-НЧ",IF(I691&lt;100,"НЧ",IF(I691&lt;=1000,"СЧ","ВЧ"))),"нет данных"))</f>
        <v>ультра-НЧ</v>
      </c>
      <c r="L691" s="12" t="n">
        <f aca="false">IF(AND(ISNUMBER(G691),G691&gt;0,ISNUMBER(I691)),I691/G691,"")</f>
        <v>0.0454545454545455</v>
      </c>
      <c r="M691" s="10" t="s">
        <v>94</v>
      </c>
      <c r="N691" s="10" t="s">
        <v>1051</v>
      </c>
      <c r="O691" s="10"/>
    </row>
    <row r="692" customFormat="false" ht="15" hidden="false" customHeight="false" outlineLevel="0" collapsed="false">
      <c r="A692" s="10" t="n">
        <v>691</v>
      </c>
      <c r="B692" s="10" t="s">
        <v>1052</v>
      </c>
      <c r="C692" s="10" t="s">
        <v>1053</v>
      </c>
      <c r="D692" s="10" t="s">
        <v>1054</v>
      </c>
      <c r="E692" s="10" t="s">
        <v>824</v>
      </c>
      <c r="F692" s="10" t="s">
        <v>93</v>
      </c>
      <c r="G692" s="11" t="n">
        <v>1219</v>
      </c>
      <c r="H692" s="11" t="n">
        <v>32</v>
      </c>
      <c r="I692" s="11" t="n">
        <v>25</v>
      </c>
      <c r="J692" s="11" t="n">
        <v>0</v>
      </c>
      <c r="K692" s="10" t="str">
        <f aca="false">IF(ISNUMBER(J692),IF(J692&lt;10,"ультра-НЧ",IF(J692&lt;100,"НЧ",IF(J692&lt;=1000,"СЧ","ВЧ"))),IF(ISNUMBER(I692),IF(I692&lt;10,"ультра-НЧ",IF(I692&lt;100,"НЧ",IF(I692&lt;=1000,"СЧ","ВЧ"))),"нет данных"))</f>
        <v>ультра-НЧ</v>
      </c>
      <c r="L692" s="12" t="n">
        <f aca="false">IF(AND(ISNUMBER(G692),G692&gt;0,ISNUMBER(I692)),I692/G692,"")</f>
        <v>0.0205086136177194</v>
      </c>
      <c r="M692" s="10" t="s">
        <v>94</v>
      </c>
      <c r="N692" s="10" t="s">
        <v>1055</v>
      </c>
      <c r="O692" s="10"/>
    </row>
    <row r="693" customFormat="false" ht="15" hidden="false" customHeight="false" outlineLevel="0" collapsed="false">
      <c r="A693" s="10" t="n">
        <v>692</v>
      </c>
      <c r="B693" s="10" t="s">
        <v>1056</v>
      </c>
      <c r="C693" s="10" t="s">
        <v>1053</v>
      </c>
      <c r="D693" s="10" t="s">
        <v>1054</v>
      </c>
      <c r="E693" s="10" t="s">
        <v>824</v>
      </c>
      <c r="F693" s="10" t="s">
        <v>93</v>
      </c>
      <c r="G693" s="11" t="n">
        <v>415</v>
      </c>
      <c r="H693" s="11" t="n">
        <v>6</v>
      </c>
      <c r="I693" s="11" t="n">
        <v>24</v>
      </c>
      <c r="J693" s="11" t="n">
        <v>0</v>
      </c>
      <c r="K693" s="10" t="str">
        <f aca="false">IF(ISNUMBER(J693),IF(J693&lt;10,"ультра-НЧ",IF(J693&lt;100,"НЧ",IF(J693&lt;=1000,"СЧ","ВЧ"))),IF(ISNUMBER(I693),IF(I693&lt;10,"ультра-НЧ",IF(I693&lt;100,"НЧ",IF(I693&lt;=1000,"СЧ","ВЧ"))),"нет данных"))</f>
        <v>ультра-НЧ</v>
      </c>
      <c r="L693" s="12" t="n">
        <f aca="false">IF(AND(ISNUMBER(G693),G693&gt;0,ISNUMBER(I693)),I693/G693,"")</f>
        <v>0.0578313253012048</v>
      </c>
      <c r="M693" s="10" t="s">
        <v>94</v>
      </c>
      <c r="N693" s="10" t="s">
        <v>1056</v>
      </c>
      <c r="O693" s="10"/>
    </row>
    <row r="694" customFormat="false" ht="15" hidden="false" customHeight="false" outlineLevel="0" collapsed="false">
      <c r="A694" s="10" t="n">
        <v>693</v>
      </c>
      <c r="B694" s="10" t="s">
        <v>1057</v>
      </c>
      <c r="C694" s="10" t="s">
        <v>1053</v>
      </c>
      <c r="D694" s="10" t="s">
        <v>1054</v>
      </c>
      <c r="E694" s="10" t="s">
        <v>824</v>
      </c>
      <c r="F694" s="10" t="s">
        <v>93</v>
      </c>
      <c r="G694" s="11" t="n">
        <v>22</v>
      </c>
      <c r="H694" s="11" t="n">
        <v>4</v>
      </c>
      <c r="I694" s="11" t="n">
        <v>0</v>
      </c>
      <c r="J694" s="11" t="n">
        <v>0</v>
      </c>
      <c r="K694" s="10" t="str">
        <f aca="false">IF(ISNUMBER(J694),IF(J694&lt;10,"ультра-НЧ",IF(J694&lt;100,"НЧ",IF(J694&lt;=1000,"СЧ","ВЧ"))),IF(ISNUMBER(I694),IF(I694&lt;10,"ультра-НЧ",IF(I694&lt;100,"НЧ",IF(I694&lt;=1000,"СЧ","ВЧ"))),"нет данных"))</f>
        <v>ультра-НЧ</v>
      </c>
      <c r="L694" s="12" t="n">
        <f aca="false">IF(AND(ISNUMBER(G694),G694&gt;0,ISNUMBER(I694)),I694/G694,"")</f>
        <v>0</v>
      </c>
      <c r="M694" s="10" t="s">
        <v>94</v>
      </c>
      <c r="N694" s="10" t="s">
        <v>1058</v>
      </c>
      <c r="O694" s="10"/>
    </row>
    <row r="695" customFormat="false" ht="15" hidden="false" customHeight="false" outlineLevel="0" collapsed="false">
      <c r="A695" s="10" t="n">
        <v>694</v>
      </c>
      <c r="B695" s="10" t="s">
        <v>1059</v>
      </c>
      <c r="C695" s="10" t="s">
        <v>1053</v>
      </c>
      <c r="D695" s="10" t="s">
        <v>1054</v>
      </c>
      <c r="E695" s="10" t="s">
        <v>824</v>
      </c>
      <c r="F695" s="10" t="s">
        <v>93</v>
      </c>
      <c r="G695" s="11" t="n">
        <v>751</v>
      </c>
      <c r="H695" s="11" t="n">
        <v>95</v>
      </c>
      <c r="I695" s="11" t="n">
        <v>12</v>
      </c>
      <c r="J695" s="11" t="n">
        <v>0</v>
      </c>
      <c r="K695" s="10" t="str">
        <f aca="false">IF(ISNUMBER(J695),IF(J695&lt;10,"ультра-НЧ",IF(J695&lt;100,"НЧ",IF(J695&lt;=1000,"СЧ","ВЧ"))),IF(ISNUMBER(I695),IF(I695&lt;10,"ультра-НЧ",IF(I695&lt;100,"НЧ",IF(I695&lt;=1000,"СЧ","ВЧ"))),"нет данных"))</f>
        <v>ультра-НЧ</v>
      </c>
      <c r="L695" s="12" t="n">
        <f aca="false">IF(AND(ISNUMBER(G695),G695&gt;0,ISNUMBER(I695)),I695/G695,"")</f>
        <v>0.0159786950732357</v>
      </c>
      <c r="M695" s="10" t="s">
        <v>94</v>
      </c>
      <c r="N695" s="10" t="s">
        <v>1059</v>
      </c>
      <c r="O695" s="10"/>
    </row>
    <row r="696" customFormat="false" ht="15" hidden="false" customHeight="false" outlineLevel="0" collapsed="false">
      <c r="A696" s="10" t="n">
        <v>695</v>
      </c>
      <c r="B696" s="10" t="s">
        <v>1060</v>
      </c>
      <c r="C696" s="10" t="s">
        <v>1053</v>
      </c>
      <c r="D696" s="10" t="s">
        <v>1054</v>
      </c>
      <c r="E696" s="10" t="s">
        <v>824</v>
      </c>
      <c r="F696" s="10" t="s">
        <v>93</v>
      </c>
      <c r="G696" s="11" t="n">
        <v>9</v>
      </c>
      <c r="H696" s="11" t="n">
        <v>0</v>
      </c>
      <c r="I696" s="11" t="n">
        <v>0</v>
      </c>
      <c r="J696" s="11" t="n">
        <v>0</v>
      </c>
      <c r="K696" s="10" t="str">
        <f aca="false">IF(ISNUMBER(J696),IF(J696&lt;10,"ультра-НЧ",IF(J696&lt;100,"НЧ",IF(J696&lt;=1000,"СЧ","ВЧ"))),IF(ISNUMBER(I696),IF(I696&lt;10,"ультра-НЧ",IF(I696&lt;100,"НЧ",IF(I696&lt;=1000,"СЧ","ВЧ"))),"нет данных"))</f>
        <v>ультра-НЧ</v>
      </c>
      <c r="L696" s="12" t="n">
        <f aca="false">IF(AND(ISNUMBER(G696),G696&gt;0,ISNUMBER(I696)),I696/G696,"")</f>
        <v>0</v>
      </c>
      <c r="M696" s="10" t="s">
        <v>94</v>
      </c>
      <c r="N696" s="10" t="s">
        <v>1060</v>
      </c>
      <c r="O696" s="10"/>
    </row>
    <row r="697" customFormat="false" ht="15" hidden="false" customHeight="false" outlineLevel="0" collapsed="false">
      <c r="A697" s="10" t="n">
        <v>696</v>
      </c>
      <c r="B697" s="10" t="s">
        <v>1061</v>
      </c>
      <c r="C697" s="10" t="s">
        <v>1053</v>
      </c>
      <c r="D697" s="10" t="s">
        <v>1054</v>
      </c>
      <c r="E697" s="10" t="s">
        <v>824</v>
      </c>
      <c r="F697" s="10" t="s">
        <v>93</v>
      </c>
      <c r="G697" s="11" t="n">
        <v>5951</v>
      </c>
      <c r="H697" s="11" t="n">
        <v>288</v>
      </c>
      <c r="I697" s="11" t="n">
        <v>102</v>
      </c>
      <c r="J697" s="11" t="n">
        <v>4</v>
      </c>
      <c r="K697" s="10" t="str">
        <f aca="false">IF(ISNUMBER(J697),IF(J697&lt;10,"ультра-НЧ",IF(J697&lt;100,"НЧ",IF(J697&lt;=1000,"СЧ","ВЧ"))),IF(ISNUMBER(I697),IF(I697&lt;10,"ультра-НЧ",IF(I697&lt;100,"НЧ",IF(I697&lt;=1000,"СЧ","ВЧ"))),"нет данных"))</f>
        <v>ультра-НЧ</v>
      </c>
      <c r="L697" s="12" t="n">
        <f aca="false">IF(AND(ISNUMBER(G697),G697&gt;0,ISNUMBER(I697)),I697/G697,"")</f>
        <v>0.0171399764745421</v>
      </c>
      <c r="M697" s="10" t="s">
        <v>112</v>
      </c>
      <c r="N697" s="10" t="s">
        <v>1061</v>
      </c>
      <c r="O697" s="10"/>
    </row>
    <row r="698" customFormat="false" ht="15" hidden="false" customHeight="false" outlineLevel="0" collapsed="false">
      <c r="A698" s="10" t="n">
        <v>697</v>
      </c>
      <c r="B698" s="10" t="s">
        <v>1062</v>
      </c>
      <c r="C698" s="10" t="s">
        <v>1053</v>
      </c>
      <c r="D698" s="10" t="s">
        <v>1054</v>
      </c>
      <c r="E698" s="10" t="s">
        <v>824</v>
      </c>
      <c r="F698" s="10" t="s">
        <v>93</v>
      </c>
      <c r="G698" s="11" t="n">
        <v>18</v>
      </c>
      <c r="H698" s="11" t="n">
        <v>0</v>
      </c>
      <c r="I698" s="11" t="n">
        <v>1</v>
      </c>
      <c r="J698" s="11" t="n">
        <v>0</v>
      </c>
      <c r="K698" s="10" t="str">
        <f aca="false">IF(ISNUMBER(J698),IF(J698&lt;10,"ультра-НЧ",IF(J698&lt;100,"НЧ",IF(J698&lt;=1000,"СЧ","ВЧ"))),IF(ISNUMBER(I698),IF(I698&lt;10,"ультра-НЧ",IF(I698&lt;100,"НЧ",IF(I698&lt;=1000,"СЧ","ВЧ"))),"нет данных"))</f>
        <v>ультра-НЧ</v>
      </c>
      <c r="L698" s="12" t="n">
        <f aca="false">IF(AND(ISNUMBER(G698),G698&gt;0,ISNUMBER(I698)),I698/G698,"")</f>
        <v>0.0555555555555556</v>
      </c>
      <c r="M698" s="10" t="s">
        <v>94</v>
      </c>
      <c r="N698" s="10" t="s">
        <v>1062</v>
      </c>
      <c r="O698" s="10"/>
    </row>
    <row r="699" customFormat="false" ht="15" hidden="false" customHeight="false" outlineLevel="0" collapsed="false">
      <c r="A699" s="10" t="n">
        <v>698</v>
      </c>
      <c r="B699" s="10" t="s">
        <v>1063</v>
      </c>
      <c r="C699" s="10" t="s">
        <v>1053</v>
      </c>
      <c r="D699" s="10" t="s">
        <v>1054</v>
      </c>
      <c r="E699" s="10" t="s">
        <v>824</v>
      </c>
      <c r="F699" s="10" t="s">
        <v>93</v>
      </c>
      <c r="G699" s="11" t="n">
        <v>639</v>
      </c>
      <c r="H699" s="11" t="n">
        <v>34</v>
      </c>
      <c r="I699" s="11" t="n">
        <v>44</v>
      </c>
      <c r="J699" s="11" t="n">
        <v>1</v>
      </c>
      <c r="K699" s="10" t="str">
        <f aca="false">IF(ISNUMBER(J699),IF(J699&lt;10,"ультра-НЧ",IF(J699&lt;100,"НЧ",IF(J699&lt;=1000,"СЧ","ВЧ"))),IF(ISNUMBER(I699),IF(I699&lt;10,"ультра-НЧ",IF(I699&lt;100,"НЧ",IF(I699&lt;=1000,"СЧ","ВЧ"))),"нет данных"))</f>
        <v>ультра-НЧ</v>
      </c>
      <c r="L699" s="12" t="n">
        <f aca="false">IF(AND(ISNUMBER(G699),G699&gt;0,ISNUMBER(I699)),I699/G699,"")</f>
        <v>0.0688575899843505</v>
      </c>
      <c r="M699" s="10" t="s">
        <v>112</v>
      </c>
      <c r="N699" s="10" t="s">
        <v>1063</v>
      </c>
      <c r="O699" s="10"/>
    </row>
    <row r="700" customFormat="false" ht="15" hidden="false" customHeight="false" outlineLevel="0" collapsed="false">
      <c r="A700" s="10" t="n">
        <v>699</v>
      </c>
      <c r="B700" s="10" t="s">
        <v>1064</v>
      </c>
      <c r="C700" s="10" t="s">
        <v>1053</v>
      </c>
      <c r="D700" s="10" t="s">
        <v>1054</v>
      </c>
      <c r="E700" s="10" t="s">
        <v>824</v>
      </c>
      <c r="F700" s="10" t="s">
        <v>136</v>
      </c>
      <c r="G700" s="11" t="n">
        <v>277</v>
      </c>
      <c r="H700" s="11"/>
      <c r="I700" s="11"/>
      <c r="J700" s="11"/>
      <c r="K700" s="10" t="str">
        <f aca="false">IF(ISNUMBER(J700),IF(J700&lt;10,"ультра-НЧ",IF(J700&lt;100,"НЧ",IF(J700&lt;=1000,"СЧ","ВЧ"))),IF(ISNUMBER(I700),IF(I700&lt;10,"ультра-НЧ",IF(I700&lt;100,"НЧ",IF(I700&lt;=1000,"СЧ","ВЧ"))),"нет данных"))</f>
        <v>нет данных</v>
      </c>
      <c r="L700" s="12" t="str">
        <f aca="false">IF(AND(ISNUMBER(G700),G700&gt;0,ISNUMBER(I700)),I700/G700,"")</f>
        <v/>
      </c>
      <c r="M700" s="10" t="s">
        <v>112</v>
      </c>
      <c r="N700" s="10" t="s">
        <v>1065</v>
      </c>
      <c r="O700" s="10"/>
    </row>
    <row r="701" customFormat="false" ht="15" hidden="false" customHeight="false" outlineLevel="0" collapsed="false">
      <c r="A701" s="10" t="n">
        <v>700</v>
      </c>
      <c r="B701" s="10" t="s">
        <v>1066</v>
      </c>
      <c r="C701" s="10" t="s">
        <v>1053</v>
      </c>
      <c r="D701" s="10" t="s">
        <v>1054</v>
      </c>
      <c r="E701" s="10" t="s">
        <v>824</v>
      </c>
      <c r="F701" s="10" t="s">
        <v>136</v>
      </c>
      <c r="G701" s="11" t="n">
        <v>168</v>
      </c>
      <c r="H701" s="11"/>
      <c r="I701" s="11"/>
      <c r="J701" s="11"/>
      <c r="K701" s="10" t="str">
        <f aca="false">IF(ISNUMBER(J701),IF(J701&lt;10,"ультра-НЧ",IF(J701&lt;100,"НЧ",IF(J701&lt;=1000,"СЧ","ВЧ"))),IF(ISNUMBER(I701),IF(I701&lt;10,"ультра-НЧ",IF(I701&lt;100,"НЧ",IF(I701&lt;=1000,"СЧ","ВЧ"))),"нет данных"))</f>
        <v>нет данных</v>
      </c>
      <c r="L701" s="12" t="str">
        <f aca="false">IF(AND(ISNUMBER(G701),G701&gt;0,ISNUMBER(I701)),I701/G701,"")</f>
        <v/>
      </c>
      <c r="M701" s="10" t="s">
        <v>112</v>
      </c>
      <c r="N701" s="10" t="s">
        <v>1066</v>
      </c>
      <c r="O701" s="10"/>
    </row>
    <row r="702" customFormat="false" ht="15" hidden="false" customHeight="false" outlineLevel="0" collapsed="false">
      <c r="A702" s="10" t="n">
        <v>701</v>
      </c>
      <c r="B702" s="10" t="s">
        <v>1067</v>
      </c>
      <c r="C702" s="10" t="s">
        <v>1053</v>
      </c>
      <c r="D702" s="10" t="s">
        <v>1054</v>
      </c>
      <c r="E702" s="10" t="s">
        <v>824</v>
      </c>
      <c r="F702" s="10" t="s">
        <v>136</v>
      </c>
      <c r="G702" s="11" t="n">
        <v>166</v>
      </c>
      <c r="H702" s="11"/>
      <c r="I702" s="11"/>
      <c r="J702" s="11"/>
      <c r="K702" s="10" t="str">
        <f aca="false">IF(ISNUMBER(J702),IF(J702&lt;10,"ультра-НЧ",IF(J702&lt;100,"НЧ",IF(J702&lt;=1000,"СЧ","ВЧ"))),IF(ISNUMBER(I702),IF(I702&lt;10,"ультра-НЧ",IF(I702&lt;100,"НЧ",IF(I702&lt;=1000,"СЧ","ВЧ"))),"нет данных"))</f>
        <v>нет данных</v>
      </c>
      <c r="L702" s="12" t="str">
        <f aca="false">IF(AND(ISNUMBER(G702),G702&gt;0,ISNUMBER(I702)),I702/G702,"")</f>
        <v/>
      </c>
      <c r="M702" s="10" t="s">
        <v>112</v>
      </c>
      <c r="N702" s="10" t="s">
        <v>1068</v>
      </c>
      <c r="O702" s="10"/>
    </row>
    <row r="703" customFormat="false" ht="15" hidden="false" customHeight="false" outlineLevel="0" collapsed="false">
      <c r="A703" s="10" t="n">
        <v>702</v>
      </c>
      <c r="B703" s="10" t="s">
        <v>1069</v>
      </c>
      <c r="C703" s="10" t="s">
        <v>1053</v>
      </c>
      <c r="D703" s="10" t="s">
        <v>1054</v>
      </c>
      <c r="E703" s="10" t="s">
        <v>824</v>
      </c>
      <c r="F703" s="10" t="s">
        <v>136</v>
      </c>
      <c r="G703" s="11" t="n">
        <v>111</v>
      </c>
      <c r="H703" s="11"/>
      <c r="I703" s="11"/>
      <c r="J703" s="11"/>
      <c r="K703" s="10" t="str">
        <f aca="false">IF(ISNUMBER(J703),IF(J703&lt;10,"ультра-НЧ",IF(J703&lt;100,"НЧ",IF(J703&lt;=1000,"СЧ","ВЧ"))),IF(ISNUMBER(I703),IF(I703&lt;10,"ультра-НЧ",IF(I703&lt;100,"НЧ",IF(I703&lt;=1000,"СЧ","ВЧ"))),"нет данных"))</f>
        <v>нет данных</v>
      </c>
      <c r="L703" s="12" t="str">
        <f aca="false">IF(AND(ISNUMBER(G703),G703&gt;0,ISNUMBER(I703)),I703/G703,"")</f>
        <v/>
      </c>
      <c r="M703" s="10" t="s">
        <v>112</v>
      </c>
      <c r="N703" s="10" t="s">
        <v>1070</v>
      </c>
      <c r="O703" s="10"/>
    </row>
    <row r="704" customFormat="false" ht="15" hidden="false" customHeight="false" outlineLevel="0" collapsed="false">
      <c r="A704" s="10" t="n">
        <v>703</v>
      </c>
      <c r="B704" s="10" t="s">
        <v>1071</v>
      </c>
      <c r="C704" s="10" t="s">
        <v>1053</v>
      </c>
      <c r="D704" s="10" t="s">
        <v>1054</v>
      </c>
      <c r="E704" s="10" t="s">
        <v>824</v>
      </c>
      <c r="F704" s="10" t="s">
        <v>136</v>
      </c>
      <c r="G704" s="11" t="n">
        <v>91</v>
      </c>
      <c r="H704" s="11"/>
      <c r="I704" s="11"/>
      <c r="J704" s="11"/>
      <c r="K704" s="10" t="str">
        <f aca="false">IF(ISNUMBER(J704),IF(J704&lt;10,"ультра-НЧ",IF(J704&lt;100,"НЧ",IF(J704&lt;=1000,"СЧ","ВЧ"))),IF(ISNUMBER(I704),IF(I704&lt;10,"ультра-НЧ",IF(I704&lt;100,"НЧ",IF(I704&lt;=1000,"СЧ","ВЧ"))),"нет данных"))</f>
        <v>нет данных</v>
      </c>
      <c r="L704" s="12" t="str">
        <f aca="false">IF(AND(ISNUMBER(G704),G704&gt;0,ISNUMBER(I704)),I704/G704,"")</f>
        <v/>
      </c>
      <c r="M704" s="10" t="s">
        <v>94</v>
      </c>
      <c r="N704" s="10" t="s">
        <v>1071</v>
      </c>
      <c r="O704" s="10"/>
    </row>
    <row r="705" customFormat="false" ht="15" hidden="false" customHeight="false" outlineLevel="0" collapsed="false">
      <c r="A705" s="10" t="n">
        <v>704</v>
      </c>
      <c r="B705" s="10" t="s">
        <v>1072</v>
      </c>
      <c r="C705" s="10" t="s">
        <v>1053</v>
      </c>
      <c r="D705" s="10" t="s">
        <v>1054</v>
      </c>
      <c r="E705" s="10" t="s">
        <v>824</v>
      </c>
      <c r="F705" s="10" t="s">
        <v>136</v>
      </c>
      <c r="G705" s="11" t="n">
        <v>82</v>
      </c>
      <c r="H705" s="11"/>
      <c r="I705" s="11"/>
      <c r="J705" s="11"/>
      <c r="K705" s="10" t="str">
        <f aca="false">IF(ISNUMBER(J705),IF(J705&lt;10,"ультра-НЧ",IF(J705&lt;100,"НЧ",IF(J705&lt;=1000,"СЧ","ВЧ"))),IF(ISNUMBER(I705),IF(I705&lt;10,"ультра-НЧ",IF(I705&lt;100,"НЧ",IF(I705&lt;=1000,"СЧ","ВЧ"))),"нет данных"))</f>
        <v>нет данных</v>
      </c>
      <c r="L705" s="12" t="str">
        <f aca="false">IF(AND(ISNUMBER(G705),G705&gt;0,ISNUMBER(I705)),I705/G705,"")</f>
        <v/>
      </c>
      <c r="M705" s="10" t="s">
        <v>94</v>
      </c>
      <c r="N705" s="10" t="s">
        <v>1073</v>
      </c>
      <c r="O705" s="10"/>
    </row>
    <row r="706" customFormat="false" ht="15" hidden="false" customHeight="false" outlineLevel="0" collapsed="false">
      <c r="A706" s="10" t="n">
        <v>705</v>
      </c>
      <c r="B706" s="10" t="s">
        <v>1074</v>
      </c>
      <c r="C706" s="10" t="s">
        <v>1053</v>
      </c>
      <c r="D706" s="10" t="s">
        <v>1054</v>
      </c>
      <c r="E706" s="10" t="s">
        <v>824</v>
      </c>
      <c r="F706" s="10" t="s">
        <v>136</v>
      </c>
      <c r="G706" s="11" t="n">
        <v>71</v>
      </c>
      <c r="H706" s="11"/>
      <c r="I706" s="11"/>
      <c r="J706" s="11"/>
      <c r="K706" s="10" t="str">
        <f aca="false">IF(ISNUMBER(J706),IF(J706&lt;10,"ультра-НЧ",IF(J706&lt;100,"НЧ",IF(J706&lt;=1000,"СЧ","ВЧ"))),IF(ISNUMBER(I706),IF(I706&lt;10,"ультра-НЧ",IF(I706&lt;100,"НЧ",IF(I706&lt;=1000,"СЧ","ВЧ"))),"нет данных"))</f>
        <v>нет данных</v>
      </c>
      <c r="L706" s="12" t="str">
        <f aca="false">IF(AND(ISNUMBER(G706),G706&gt;0,ISNUMBER(I706)),I706/G706,"")</f>
        <v/>
      </c>
      <c r="M706" s="10" t="s">
        <v>94</v>
      </c>
      <c r="N706" s="10" t="s">
        <v>1075</v>
      </c>
      <c r="O706" s="10"/>
    </row>
    <row r="707" customFormat="false" ht="15" hidden="false" customHeight="false" outlineLevel="0" collapsed="false">
      <c r="A707" s="10" t="n">
        <v>706</v>
      </c>
      <c r="B707" s="10" t="s">
        <v>1076</v>
      </c>
      <c r="C707" s="10" t="s">
        <v>1053</v>
      </c>
      <c r="D707" s="10" t="s">
        <v>1054</v>
      </c>
      <c r="E707" s="10" t="s">
        <v>824</v>
      </c>
      <c r="F707" s="10" t="s">
        <v>136</v>
      </c>
      <c r="G707" s="11" t="n">
        <v>70</v>
      </c>
      <c r="H707" s="11"/>
      <c r="I707" s="11"/>
      <c r="J707" s="11"/>
      <c r="K707" s="10" t="str">
        <f aca="false">IF(ISNUMBER(J707),IF(J707&lt;10,"ультра-НЧ",IF(J707&lt;100,"НЧ",IF(J707&lt;=1000,"СЧ","ВЧ"))),IF(ISNUMBER(I707),IF(I707&lt;10,"ультра-НЧ",IF(I707&lt;100,"НЧ",IF(I707&lt;=1000,"СЧ","ВЧ"))),"нет данных"))</f>
        <v>нет данных</v>
      </c>
      <c r="L707" s="12" t="str">
        <f aca="false">IF(AND(ISNUMBER(G707),G707&gt;0,ISNUMBER(I707)),I707/G707,"")</f>
        <v/>
      </c>
      <c r="M707" s="10" t="s">
        <v>94</v>
      </c>
      <c r="N707" s="10" t="s">
        <v>1077</v>
      </c>
      <c r="O707" s="10"/>
    </row>
    <row r="708" customFormat="false" ht="15" hidden="false" customHeight="false" outlineLevel="0" collapsed="false">
      <c r="A708" s="10" t="n">
        <v>707</v>
      </c>
      <c r="B708" s="10" t="s">
        <v>1078</v>
      </c>
      <c r="C708" s="10" t="s">
        <v>1053</v>
      </c>
      <c r="D708" s="10" t="s">
        <v>1054</v>
      </c>
      <c r="E708" s="10" t="s">
        <v>824</v>
      </c>
      <c r="F708" s="10" t="s">
        <v>136</v>
      </c>
      <c r="G708" s="11" t="n">
        <v>61</v>
      </c>
      <c r="H708" s="11"/>
      <c r="I708" s="11"/>
      <c r="J708" s="11"/>
      <c r="K708" s="10" t="str">
        <f aca="false">IF(ISNUMBER(J708),IF(J708&lt;10,"ультра-НЧ",IF(J708&lt;100,"НЧ",IF(J708&lt;=1000,"СЧ","ВЧ"))),IF(ISNUMBER(I708),IF(I708&lt;10,"ультра-НЧ",IF(I708&lt;100,"НЧ",IF(I708&lt;=1000,"СЧ","ВЧ"))),"нет данных"))</f>
        <v>нет данных</v>
      </c>
      <c r="L708" s="12" t="str">
        <f aca="false">IF(AND(ISNUMBER(G708),G708&gt;0,ISNUMBER(I708)),I708/G708,"")</f>
        <v/>
      </c>
      <c r="M708" s="10" t="s">
        <v>94</v>
      </c>
      <c r="N708" s="10" t="s">
        <v>1078</v>
      </c>
      <c r="O708" s="10"/>
    </row>
    <row r="709" customFormat="false" ht="15" hidden="false" customHeight="false" outlineLevel="0" collapsed="false">
      <c r="A709" s="10" t="n">
        <v>708</v>
      </c>
      <c r="B709" s="10" t="s">
        <v>1079</v>
      </c>
      <c r="C709" s="10" t="s">
        <v>1053</v>
      </c>
      <c r="D709" s="10" t="s">
        <v>1054</v>
      </c>
      <c r="E709" s="10" t="s">
        <v>824</v>
      </c>
      <c r="F709" s="10" t="s">
        <v>136</v>
      </c>
      <c r="G709" s="11" t="n">
        <v>48</v>
      </c>
      <c r="H709" s="11"/>
      <c r="I709" s="11"/>
      <c r="J709" s="11"/>
      <c r="K709" s="10" t="str">
        <f aca="false">IF(ISNUMBER(J709),IF(J709&lt;10,"ультра-НЧ",IF(J709&lt;100,"НЧ",IF(J709&lt;=1000,"СЧ","ВЧ"))),IF(ISNUMBER(I709),IF(I709&lt;10,"ультра-НЧ",IF(I709&lt;100,"НЧ",IF(I709&lt;=1000,"СЧ","ВЧ"))),"нет данных"))</f>
        <v>нет данных</v>
      </c>
      <c r="L709" s="12" t="str">
        <f aca="false">IF(AND(ISNUMBER(G709),G709&gt;0,ISNUMBER(I709)),I709/G709,"")</f>
        <v/>
      </c>
      <c r="M709" s="10" t="s">
        <v>94</v>
      </c>
      <c r="N709" s="10" t="s">
        <v>1079</v>
      </c>
      <c r="O709" s="10"/>
    </row>
    <row r="710" customFormat="false" ht="15" hidden="false" customHeight="false" outlineLevel="0" collapsed="false">
      <c r="A710" s="10" t="n">
        <v>709</v>
      </c>
      <c r="B710" s="10" t="s">
        <v>1080</v>
      </c>
      <c r="C710" s="10" t="s">
        <v>1053</v>
      </c>
      <c r="D710" s="10" t="s">
        <v>1054</v>
      </c>
      <c r="E710" s="10" t="s">
        <v>824</v>
      </c>
      <c r="F710" s="10" t="s">
        <v>136</v>
      </c>
      <c r="G710" s="11" t="n">
        <v>45</v>
      </c>
      <c r="H710" s="11"/>
      <c r="I710" s="11"/>
      <c r="J710" s="11"/>
      <c r="K710" s="10" t="str">
        <f aca="false">IF(ISNUMBER(J710),IF(J710&lt;10,"ультра-НЧ",IF(J710&lt;100,"НЧ",IF(J710&lt;=1000,"СЧ","ВЧ"))),IF(ISNUMBER(I710),IF(I710&lt;10,"ультра-НЧ",IF(I710&lt;100,"НЧ",IF(I710&lt;=1000,"СЧ","ВЧ"))),"нет данных"))</f>
        <v>нет данных</v>
      </c>
      <c r="L710" s="12" t="str">
        <f aca="false">IF(AND(ISNUMBER(G710),G710&gt;0,ISNUMBER(I710)),I710/G710,"")</f>
        <v/>
      </c>
      <c r="M710" s="10" t="s">
        <v>94</v>
      </c>
      <c r="N710" s="10" t="s">
        <v>1081</v>
      </c>
      <c r="O710" s="10"/>
    </row>
    <row r="711" customFormat="false" ht="15" hidden="false" customHeight="false" outlineLevel="0" collapsed="false">
      <c r="A711" s="10" t="n">
        <v>710</v>
      </c>
      <c r="B711" s="10" t="s">
        <v>1082</v>
      </c>
      <c r="C711" s="10" t="s">
        <v>1053</v>
      </c>
      <c r="D711" s="10" t="s">
        <v>1054</v>
      </c>
      <c r="E711" s="10" t="s">
        <v>824</v>
      </c>
      <c r="F711" s="10" t="s">
        <v>136</v>
      </c>
      <c r="G711" s="11" t="n">
        <v>38</v>
      </c>
      <c r="H711" s="11"/>
      <c r="I711" s="11"/>
      <c r="J711" s="11"/>
      <c r="K711" s="10" t="str">
        <f aca="false">IF(ISNUMBER(J711),IF(J711&lt;10,"ультра-НЧ",IF(J711&lt;100,"НЧ",IF(J711&lt;=1000,"СЧ","ВЧ"))),IF(ISNUMBER(I711),IF(I711&lt;10,"ультра-НЧ",IF(I711&lt;100,"НЧ",IF(I711&lt;=1000,"СЧ","ВЧ"))),"нет данных"))</f>
        <v>нет данных</v>
      </c>
      <c r="L711" s="12" t="str">
        <f aca="false">IF(AND(ISNUMBER(G711),G711&gt;0,ISNUMBER(I711)),I711/G711,"")</f>
        <v/>
      </c>
      <c r="M711" s="10" t="s">
        <v>94</v>
      </c>
      <c r="N711" s="10" t="s">
        <v>1083</v>
      </c>
      <c r="O711" s="10"/>
    </row>
    <row r="712" customFormat="false" ht="15" hidden="false" customHeight="false" outlineLevel="0" collapsed="false">
      <c r="A712" s="10" t="n">
        <v>711</v>
      </c>
      <c r="B712" s="10" t="s">
        <v>1084</v>
      </c>
      <c r="C712" s="10" t="s">
        <v>1053</v>
      </c>
      <c r="D712" s="10" t="s">
        <v>1054</v>
      </c>
      <c r="E712" s="10" t="s">
        <v>824</v>
      </c>
      <c r="F712" s="10" t="s">
        <v>136</v>
      </c>
      <c r="G712" s="11" t="n">
        <v>33</v>
      </c>
      <c r="H712" s="11"/>
      <c r="I712" s="11"/>
      <c r="J712" s="11"/>
      <c r="K712" s="10" t="str">
        <f aca="false">IF(ISNUMBER(J712),IF(J712&lt;10,"ультра-НЧ",IF(J712&lt;100,"НЧ",IF(J712&lt;=1000,"СЧ","ВЧ"))),IF(ISNUMBER(I712),IF(I712&lt;10,"ультра-НЧ",IF(I712&lt;100,"НЧ",IF(I712&lt;=1000,"СЧ","ВЧ"))),"нет данных"))</f>
        <v>нет данных</v>
      </c>
      <c r="L712" s="12" t="str">
        <f aca="false">IF(AND(ISNUMBER(G712),G712&gt;0,ISNUMBER(I712)),I712/G712,"")</f>
        <v/>
      </c>
      <c r="M712" s="10" t="s">
        <v>94</v>
      </c>
      <c r="N712" s="10" t="s">
        <v>1085</v>
      </c>
      <c r="O712" s="10"/>
    </row>
    <row r="713" customFormat="false" ht="15" hidden="false" customHeight="false" outlineLevel="0" collapsed="false">
      <c r="A713" s="10" t="n">
        <v>712</v>
      </c>
      <c r="B713" s="10" t="s">
        <v>1086</v>
      </c>
      <c r="C713" s="10" t="s">
        <v>1053</v>
      </c>
      <c r="D713" s="10" t="s">
        <v>1054</v>
      </c>
      <c r="E713" s="10" t="s">
        <v>824</v>
      </c>
      <c r="F713" s="10" t="s">
        <v>136</v>
      </c>
      <c r="G713" s="11" t="n">
        <v>33</v>
      </c>
      <c r="H713" s="11"/>
      <c r="I713" s="11"/>
      <c r="J713" s="11"/>
      <c r="K713" s="10" t="str">
        <f aca="false">IF(ISNUMBER(J713),IF(J713&lt;10,"ультра-НЧ",IF(J713&lt;100,"НЧ",IF(J713&lt;=1000,"СЧ","ВЧ"))),IF(ISNUMBER(I713),IF(I713&lt;10,"ультра-НЧ",IF(I713&lt;100,"НЧ",IF(I713&lt;=1000,"СЧ","ВЧ"))),"нет данных"))</f>
        <v>нет данных</v>
      </c>
      <c r="L713" s="12" t="str">
        <f aca="false">IF(AND(ISNUMBER(G713),G713&gt;0,ISNUMBER(I713)),I713/G713,"")</f>
        <v/>
      </c>
      <c r="M713" s="10" t="s">
        <v>94</v>
      </c>
      <c r="N713" s="10" t="s">
        <v>1087</v>
      </c>
      <c r="O713" s="10"/>
    </row>
    <row r="714" customFormat="false" ht="15" hidden="false" customHeight="false" outlineLevel="0" collapsed="false">
      <c r="A714" s="10" t="n">
        <v>713</v>
      </c>
      <c r="B714" s="10" t="s">
        <v>1088</v>
      </c>
      <c r="C714" s="10" t="s">
        <v>1053</v>
      </c>
      <c r="D714" s="10" t="s">
        <v>1054</v>
      </c>
      <c r="E714" s="10" t="s">
        <v>824</v>
      </c>
      <c r="F714" s="10" t="s">
        <v>136</v>
      </c>
      <c r="G714" s="11" t="n">
        <v>32</v>
      </c>
      <c r="H714" s="11"/>
      <c r="I714" s="11"/>
      <c r="J714" s="11"/>
      <c r="K714" s="10" t="str">
        <f aca="false">IF(ISNUMBER(J714),IF(J714&lt;10,"ультра-НЧ",IF(J714&lt;100,"НЧ",IF(J714&lt;=1000,"СЧ","ВЧ"))),IF(ISNUMBER(I714),IF(I714&lt;10,"ультра-НЧ",IF(I714&lt;100,"НЧ",IF(I714&lt;=1000,"СЧ","ВЧ"))),"нет данных"))</f>
        <v>нет данных</v>
      </c>
      <c r="L714" s="12" t="str">
        <f aca="false">IF(AND(ISNUMBER(G714),G714&gt;0,ISNUMBER(I714)),I714/G714,"")</f>
        <v/>
      </c>
      <c r="M714" s="10" t="s">
        <v>94</v>
      </c>
      <c r="N714" s="10" t="s">
        <v>1089</v>
      </c>
      <c r="O714" s="10"/>
    </row>
    <row r="715" customFormat="false" ht="15" hidden="false" customHeight="false" outlineLevel="0" collapsed="false">
      <c r="A715" s="10" t="n">
        <v>714</v>
      </c>
      <c r="B715" s="10" t="s">
        <v>1090</v>
      </c>
      <c r="C715" s="10" t="s">
        <v>1053</v>
      </c>
      <c r="D715" s="10" t="s">
        <v>1054</v>
      </c>
      <c r="E715" s="10" t="s">
        <v>824</v>
      </c>
      <c r="F715" s="10" t="s">
        <v>136</v>
      </c>
      <c r="G715" s="11" t="n">
        <v>31</v>
      </c>
      <c r="H715" s="11"/>
      <c r="I715" s="11"/>
      <c r="J715" s="11"/>
      <c r="K715" s="10" t="str">
        <f aca="false">IF(ISNUMBER(J715),IF(J715&lt;10,"ультра-НЧ",IF(J715&lt;100,"НЧ",IF(J715&lt;=1000,"СЧ","ВЧ"))),IF(ISNUMBER(I715),IF(I715&lt;10,"ультра-НЧ",IF(I715&lt;100,"НЧ",IF(I715&lt;=1000,"СЧ","ВЧ"))),"нет данных"))</f>
        <v>нет данных</v>
      </c>
      <c r="L715" s="12" t="str">
        <f aca="false">IF(AND(ISNUMBER(G715),G715&gt;0,ISNUMBER(I715)),I715/G715,"")</f>
        <v/>
      </c>
      <c r="M715" s="10" t="s">
        <v>94</v>
      </c>
      <c r="N715" s="10" t="s">
        <v>1091</v>
      </c>
      <c r="O715" s="10"/>
    </row>
    <row r="716" customFormat="false" ht="15" hidden="false" customHeight="false" outlineLevel="0" collapsed="false">
      <c r="A716" s="10" t="n">
        <v>715</v>
      </c>
      <c r="B716" s="10" t="s">
        <v>1092</v>
      </c>
      <c r="C716" s="10" t="s">
        <v>1053</v>
      </c>
      <c r="D716" s="10" t="s">
        <v>1054</v>
      </c>
      <c r="E716" s="10" t="s">
        <v>824</v>
      </c>
      <c r="F716" s="10" t="s">
        <v>136</v>
      </c>
      <c r="G716" s="11" t="n">
        <v>31</v>
      </c>
      <c r="H716" s="11"/>
      <c r="I716" s="11"/>
      <c r="J716" s="11"/>
      <c r="K716" s="10" t="str">
        <f aca="false">IF(ISNUMBER(J716),IF(J716&lt;10,"ультра-НЧ",IF(J716&lt;100,"НЧ",IF(J716&lt;=1000,"СЧ","ВЧ"))),IF(ISNUMBER(I716),IF(I716&lt;10,"ультра-НЧ",IF(I716&lt;100,"НЧ",IF(I716&lt;=1000,"СЧ","ВЧ"))),"нет данных"))</f>
        <v>нет данных</v>
      </c>
      <c r="L716" s="12" t="str">
        <f aca="false">IF(AND(ISNUMBER(G716),G716&gt;0,ISNUMBER(I716)),I716/G716,"")</f>
        <v/>
      </c>
      <c r="M716" s="10" t="s">
        <v>94</v>
      </c>
      <c r="N716" s="10" t="s">
        <v>1093</v>
      </c>
      <c r="O716" s="10"/>
    </row>
    <row r="717" customFormat="false" ht="15" hidden="false" customHeight="false" outlineLevel="0" collapsed="false">
      <c r="A717" s="10" t="n">
        <v>716</v>
      </c>
      <c r="B717" s="10" t="s">
        <v>1094</v>
      </c>
      <c r="C717" s="10" t="s">
        <v>1053</v>
      </c>
      <c r="D717" s="10" t="s">
        <v>1054</v>
      </c>
      <c r="E717" s="10" t="s">
        <v>824</v>
      </c>
      <c r="F717" s="10" t="s">
        <v>136</v>
      </c>
      <c r="G717" s="11" t="n">
        <v>28</v>
      </c>
      <c r="H717" s="11"/>
      <c r="I717" s="11"/>
      <c r="J717" s="11"/>
      <c r="K717" s="10" t="str">
        <f aca="false">IF(ISNUMBER(J717),IF(J717&lt;10,"ультра-НЧ",IF(J717&lt;100,"НЧ",IF(J717&lt;=1000,"СЧ","ВЧ"))),IF(ISNUMBER(I717),IF(I717&lt;10,"ультра-НЧ",IF(I717&lt;100,"НЧ",IF(I717&lt;=1000,"СЧ","ВЧ"))),"нет данных"))</f>
        <v>нет данных</v>
      </c>
      <c r="L717" s="12" t="str">
        <f aca="false">IF(AND(ISNUMBER(G717),G717&gt;0,ISNUMBER(I717)),I717/G717,"")</f>
        <v/>
      </c>
      <c r="M717" s="10" t="s">
        <v>94</v>
      </c>
      <c r="N717" s="10" t="s">
        <v>1095</v>
      </c>
      <c r="O717" s="10"/>
    </row>
    <row r="718" customFormat="false" ht="15" hidden="false" customHeight="false" outlineLevel="0" collapsed="false">
      <c r="A718" s="10" t="n">
        <v>717</v>
      </c>
      <c r="B718" s="10" t="s">
        <v>1096</v>
      </c>
      <c r="C718" s="10" t="s">
        <v>1053</v>
      </c>
      <c r="D718" s="10" t="s">
        <v>1054</v>
      </c>
      <c r="E718" s="10" t="s">
        <v>824</v>
      </c>
      <c r="F718" s="10" t="s">
        <v>136</v>
      </c>
      <c r="G718" s="11" t="n">
        <v>25</v>
      </c>
      <c r="H718" s="11"/>
      <c r="I718" s="11"/>
      <c r="J718" s="11"/>
      <c r="K718" s="10" t="str">
        <f aca="false">IF(ISNUMBER(J718),IF(J718&lt;10,"ультра-НЧ",IF(J718&lt;100,"НЧ",IF(J718&lt;=1000,"СЧ","ВЧ"))),IF(ISNUMBER(I718),IF(I718&lt;10,"ультра-НЧ",IF(I718&lt;100,"НЧ",IF(I718&lt;=1000,"СЧ","ВЧ"))),"нет данных"))</f>
        <v>нет данных</v>
      </c>
      <c r="L718" s="12" t="str">
        <f aca="false">IF(AND(ISNUMBER(G718),G718&gt;0,ISNUMBER(I718)),I718/G718,"")</f>
        <v/>
      </c>
      <c r="M718" s="10" t="s">
        <v>94</v>
      </c>
      <c r="N718" s="10" t="s">
        <v>1097</v>
      </c>
      <c r="O718" s="10"/>
    </row>
    <row r="719" customFormat="false" ht="15" hidden="false" customHeight="false" outlineLevel="0" collapsed="false">
      <c r="A719" s="10" t="n">
        <v>718</v>
      </c>
      <c r="B719" s="10" t="s">
        <v>1098</v>
      </c>
      <c r="C719" s="10" t="s">
        <v>1053</v>
      </c>
      <c r="D719" s="10" t="s">
        <v>1054</v>
      </c>
      <c r="E719" s="10" t="s">
        <v>824</v>
      </c>
      <c r="F719" s="10" t="s">
        <v>136</v>
      </c>
      <c r="G719" s="11" t="n">
        <v>24</v>
      </c>
      <c r="H719" s="11"/>
      <c r="I719" s="11"/>
      <c r="J719" s="11"/>
      <c r="K719" s="10" t="str">
        <f aca="false">IF(ISNUMBER(J719),IF(J719&lt;10,"ультра-НЧ",IF(J719&lt;100,"НЧ",IF(J719&lt;=1000,"СЧ","ВЧ"))),IF(ISNUMBER(I719),IF(I719&lt;10,"ультра-НЧ",IF(I719&lt;100,"НЧ",IF(I719&lt;=1000,"СЧ","ВЧ"))),"нет данных"))</f>
        <v>нет данных</v>
      </c>
      <c r="L719" s="12" t="str">
        <f aca="false">IF(AND(ISNUMBER(G719),G719&gt;0,ISNUMBER(I719)),I719/G719,"")</f>
        <v/>
      </c>
      <c r="M719" s="10" t="s">
        <v>94</v>
      </c>
      <c r="N719" s="10" t="s">
        <v>1099</v>
      </c>
      <c r="O719" s="10"/>
    </row>
    <row r="720" customFormat="false" ht="15" hidden="false" customHeight="false" outlineLevel="0" collapsed="false">
      <c r="A720" s="10" t="n">
        <v>719</v>
      </c>
      <c r="B720" s="10" t="s">
        <v>1100</v>
      </c>
      <c r="C720" s="10" t="s">
        <v>1053</v>
      </c>
      <c r="D720" s="10" t="s">
        <v>1054</v>
      </c>
      <c r="E720" s="10" t="s">
        <v>824</v>
      </c>
      <c r="F720" s="10" t="s">
        <v>136</v>
      </c>
      <c r="G720" s="11" t="n">
        <v>24</v>
      </c>
      <c r="H720" s="11"/>
      <c r="I720" s="11"/>
      <c r="J720" s="11"/>
      <c r="K720" s="10" t="str">
        <f aca="false">IF(ISNUMBER(J720),IF(J720&lt;10,"ультра-НЧ",IF(J720&lt;100,"НЧ",IF(J720&lt;=1000,"СЧ","ВЧ"))),IF(ISNUMBER(I720),IF(I720&lt;10,"ультра-НЧ",IF(I720&lt;100,"НЧ",IF(I720&lt;=1000,"СЧ","ВЧ"))),"нет данных"))</f>
        <v>нет данных</v>
      </c>
      <c r="L720" s="12" t="str">
        <f aca="false">IF(AND(ISNUMBER(G720),G720&gt;0,ISNUMBER(I720)),I720/G720,"")</f>
        <v/>
      </c>
      <c r="M720" s="10" t="s">
        <v>94</v>
      </c>
      <c r="N720" s="10" t="s">
        <v>1100</v>
      </c>
      <c r="O720" s="10"/>
    </row>
    <row r="721" customFormat="false" ht="15" hidden="false" customHeight="false" outlineLevel="0" collapsed="false">
      <c r="A721" s="10" t="n">
        <v>720</v>
      </c>
      <c r="B721" s="10" t="s">
        <v>1101</v>
      </c>
      <c r="C721" s="10" t="s">
        <v>1053</v>
      </c>
      <c r="D721" s="10" t="s">
        <v>1054</v>
      </c>
      <c r="E721" s="10" t="s">
        <v>824</v>
      </c>
      <c r="F721" s="10" t="s">
        <v>136</v>
      </c>
      <c r="G721" s="11" t="n">
        <v>21</v>
      </c>
      <c r="H721" s="11"/>
      <c r="I721" s="11"/>
      <c r="J721" s="11"/>
      <c r="K721" s="10" t="str">
        <f aca="false">IF(ISNUMBER(J721),IF(J721&lt;10,"ультра-НЧ",IF(J721&lt;100,"НЧ",IF(J721&lt;=1000,"СЧ","ВЧ"))),IF(ISNUMBER(I721),IF(I721&lt;10,"ультра-НЧ",IF(I721&lt;100,"НЧ",IF(I721&lt;=1000,"СЧ","ВЧ"))),"нет данных"))</f>
        <v>нет данных</v>
      </c>
      <c r="L721" s="12" t="str">
        <f aca="false">IF(AND(ISNUMBER(G721),G721&gt;0,ISNUMBER(I721)),I721/G721,"")</f>
        <v/>
      </c>
      <c r="M721" s="10" t="s">
        <v>94</v>
      </c>
      <c r="N721" s="10" t="s">
        <v>1102</v>
      </c>
      <c r="O721" s="10"/>
    </row>
    <row r="722" customFormat="false" ht="15" hidden="false" customHeight="false" outlineLevel="0" collapsed="false">
      <c r="A722" s="10" t="n">
        <v>721</v>
      </c>
      <c r="B722" s="10" t="s">
        <v>1103</v>
      </c>
      <c r="C722" s="10" t="s">
        <v>1053</v>
      </c>
      <c r="D722" s="10" t="s">
        <v>1054</v>
      </c>
      <c r="E722" s="10" t="s">
        <v>824</v>
      </c>
      <c r="F722" s="10" t="s">
        <v>136</v>
      </c>
      <c r="G722" s="11" t="n">
        <v>20</v>
      </c>
      <c r="H722" s="11"/>
      <c r="I722" s="11"/>
      <c r="J722" s="11"/>
      <c r="K722" s="10" t="str">
        <f aca="false">IF(ISNUMBER(J722),IF(J722&lt;10,"ультра-НЧ",IF(J722&lt;100,"НЧ",IF(J722&lt;=1000,"СЧ","ВЧ"))),IF(ISNUMBER(I722),IF(I722&lt;10,"ультра-НЧ",IF(I722&lt;100,"НЧ",IF(I722&lt;=1000,"СЧ","ВЧ"))),"нет данных"))</f>
        <v>нет данных</v>
      </c>
      <c r="L722" s="12" t="str">
        <f aca="false">IF(AND(ISNUMBER(G722),G722&gt;0,ISNUMBER(I722)),I722/G722,"")</f>
        <v/>
      </c>
      <c r="M722" s="10" t="s">
        <v>94</v>
      </c>
      <c r="N722" s="10" t="s">
        <v>1103</v>
      </c>
      <c r="O722" s="10"/>
    </row>
    <row r="723" customFormat="false" ht="15" hidden="false" customHeight="false" outlineLevel="0" collapsed="false">
      <c r="A723" s="10" t="n">
        <v>722</v>
      </c>
      <c r="B723" s="10" t="s">
        <v>1104</v>
      </c>
      <c r="C723" s="10" t="s">
        <v>1105</v>
      </c>
      <c r="D723" s="10" t="s">
        <v>1106</v>
      </c>
      <c r="E723" s="10" t="s">
        <v>92</v>
      </c>
      <c r="F723" s="10" t="s">
        <v>93</v>
      </c>
      <c r="G723" s="11" t="n">
        <v>34</v>
      </c>
      <c r="H723" s="11" t="n">
        <v>2</v>
      </c>
      <c r="I723" s="11" t="n">
        <v>0</v>
      </c>
      <c r="J723" s="11" t="n">
        <v>0</v>
      </c>
      <c r="K723" s="10" t="str">
        <f aca="false">IF(ISNUMBER(J723),IF(J723&lt;10,"ультра-НЧ",IF(J723&lt;100,"НЧ",IF(J723&lt;=1000,"СЧ","ВЧ"))),IF(ISNUMBER(I723),IF(I723&lt;10,"ультра-НЧ",IF(I723&lt;100,"НЧ",IF(I723&lt;=1000,"СЧ","ВЧ"))),"нет данных"))</f>
        <v>ультра-НЧ</v>
      </c>
      <c r="L723" s="12" t="n">
        <f aca="false">IF(AND(ISNUMBER(G723),G723&gt;0,ISNUMBER(I723)),I723/G723,"")</f>
        <v>0</v>
      </c>
      <c r="M723" s="10" t="s">
        <v>105</v>
      </c>
      <c r="N723" s="10" t="s">
        <v>1104</v>
      </c>
      <c r="O723" s="10" t="s">
        <v>107</v>
      </c>
    </row>
    <row r="724" customFormat="false" ht="15" hidden="false" customHeight="false" outlineLevel="0" collapsed="false">
      <c r="A724" s="10" t="n">
        <v>723</v>
      </c>
      <c r="B724" s="10" t="s">
        <v>1107</v>
      </c>
      <c r="C724" s="10" t="s">
        <v>1105</v>
      </c>
      <c r="D724" s="10" t="s">
        <v>1106</v>
      </c>
      <c r="E724" s="10" t="s">
        <v>92</v>
      </c>
      <c r="F724" s="10" t="s">
        <v>93</v>
      </c>
      <c r="G724" s="11" t="n">
        <v>835</v>
      </c>
      <c r="H724" s="11" t="n">
        <v>20</v>
      </c>
      <c r="I724" s="11" t="n">
        <v>21</v>
      </c>
      <c r="J724" s="11" t="n">
        <v>0</v>
      </c>
      <c r="K724" s="10" t="str">
        <f aca="false">IF(ISNUMBER(J724),IF(J724&lt;10,"ультра-НЧ",IF(J724&lt;100,"НЧ",IF(J724&lt;=1000,"СЧ","ВЧ"))),IF(ISNUMBER(I724),IF(I724&lt;10,"ультра-НЧ",IF(I724&lt;100,"НЧ",IF(I724&lt;=1000,"СЧ","ВЧ"))),"нет данных"))</f>
        <v>ультра-НЧ</v>
      </c>
      <c r="L724" s="12" t="n">
        <f aca="false">IF(AND(ISNUMBER(G724),G724&gt;0,ISNUMBER(I724)),I724/G724,"")</f>
        <v>0.0251497005988024</v>
      </c>
      <c r="M724" s="10" t="s">
        <v>105</v>
      </c>
      <c r="N724" s="10" t="s">
        <v>1107</v>
      </c>
      <c r="O724" s="10" t="s">
        <v>107</v>
      </c>
    </row>
    <row r="725" customFormat="false" ht="15" hidden="false" customHeight="false" outlineLevel="0" collapsed="false">
      <c r="A725" s="10" t="n">
        <v>724</v>
      </c>
      <c r="B725" s="10" t="s">
        <v>1108</v>
      </c>
      <c r="C725" s="10" t="s">
        <v>1105</v>
      </c>
      <c r="D725" s="10" t="s">
        <v>1106</v>
      </c>
      <c r="E725" s="10" t="s">
        <v>92</v>
      </c>
      <c r="F725" s="10" t="s">
        <v>93</v>
      </c>
      <c r="G725" s="11" t="n">
        <v>310</v>
      </c>
      <c r="H725" s="11" t="n">
        <v>28</v>
      </c>
      <c r="I725" s="11" t="n">
        <v>13</v>
      </c>
      <c r="J725" s="11" t="n">
        <v>0</v>
      </c>
      <c r="K725" s="10" t="str">
        <f aca="false">IF(ISNUMBER(J725),IF(J725&lt;10,"ультра-НЧ",IF(J725&lt;100,"НЧ",IF(J725&lt;=1000,"СЧ","ВЧ"))),IF(ISNUMBER(I725),IF(I725&lt;10,"ультра-НЧ",IF(I725&lt;100,"НЧ",IF(I725&lt;=1000,"СЧ","ВЧ"))),"нет данных"))</f>
        <v>ультра-НЧ</v>
      </c>
      <c r="L725" s="12" t="n">
        <f aca="false">IF(AND(ISNUMBER(G725),G725&gt;0,ISNUMBER(I725)),I725/G725,"")</f>
        <v>0.0419354838709677</v>
      </c>
      <c r="M725" s="10" t="s">
        <v>105</v>
      </c>
      <c r="N725" s="10" t="s">
        <v>1109</v>
      </c>
      <c r="O725" s="10" t="s">
        <v>107</v>
      </c>
    </row>
    <row r="726" customFormat="false" ht="15" hidden="false" customHeight="false" outlineLevel="0" collapsed="false">
      <c r="A726" s="10" t="n">
        <v>725</v>
      </c>
      <c r="B726" s="10" t="s">
        <v>1110</v>
      </c>
      <c r="C726" s="10" t="s">
        <v>1105</v>
      </c>
      <c r="D726" s="10" t="s">
        <v>1106</v>
      </c>
      <c r="E726" s="10" t="s">
        <v>92</v>
      </c>
      <c r="F726" s="10" t="s">
        <v>93</v>
      </c>
      <c r="G726" s="11" t="n">
        <v>6</v>
      </c>
      <c r="H726" s="11" t="n">
        <v>0</v>
      </c>
      <c r="I726" s="11" t="n">
        <v>0</v>
      </c>
      <c r="J726" s="11" t="n">
        <v>0</v>
      </c>
      <c r="K726" s="10" t="str">
        <f aca="false">IF(ISNUMBER(J726),IF(J726&lt;10,"ультра-НЧ",IF(J726&lt;100,"НЧ",IF(J726&lt;=1000,"СЧ","ВЧ"))),IF(ISNUMBER(I726),IF(I726&lt;10,"ультра-НЧ",IF(I726&lt;100,"НЧ",IF(I726&lt;=1000,"СЧ","ВЧ"))),"нет данных"))</f>
        <v>ультра-НЧ</v>
      </c>
      <c r="L726" s="12" t="n">
        <f aca="false">IF(AND(ISNUMBER(G726),G726&gt;0,ISNUMBER(I726)),I726/G726,"")</f>
        <v>0</v>
      </c>
      <c r="M726" s="10" t="s">
        <v>105</v>
      </c>
      <c r="N726" s="10" t="s">
        <v>1110</v>
      </c>
      <c r="O726" s="10" t="s">
        <v>107</v>
      </c>
    </row>
    <row r="727" customFormat="false" ht="15" hidden="false" customHeight="false" outlineLevel="0" collapsed="false">
      <c r="A727" s="10" t="n">
        <v>726</v>
      </c>
      <c r="B727" s="10" t="s">
        <v>1111</v>
      </c>
      <c r="C727" s="10" t="s">
        <v>1105</v>
      </c>
      <c r="D727" s="10" t="s">
        <v>1106</v>
      </c>
      <c r="E727" s="10" t="s">
        <v>92</v>
      </c>
      <c r="F727" s="10" t="s">
        <v>93</v>
      </c>
      <c r="G727" s="11" t="n">
        <v>3</v>
      </c>
      <c r="H727" s="11" t="n">
        <v>0</v>
      </c>
      <c r="I727" s="11" t="n">
        <v>0</v>
      </c>
      <c r="J727" s="11" t="n">
        <v>0</v>
      </c>
      <c r="K727" s="10" t="str">
        <f aca="false">IF(ISNUMBER(J727),IF(J727&lt;10,"ультра-НЧ",IF(J727&lt;100,"НЧ",IF(J727&lt;=1000,"СЧ","ВЧ"))),IF(ISNUMBER(I727),IF(I727&lt;10,"ультра-НЧ",IF(I727&lt;100,"НЧ",IF(I727&lt;=1000,"СЧ","ВЧ"))),"нет данных"))</f>
        <v>ультра-НЧ</v>
      </c>
      <c r="L727" s="12" t="n">
        <f aca="false">IF(AND(ISNUMBER(G727),G727&gt;0,ISNUMBER(I727)),I727/G727,"")</f>
        <v>0</v>
      </c>
      <c r="M727" s="10" t="s">
        <v>94</v>
      </c>
      <c r="N727" s="10" t="s">
        <v>1111</v>
      </c>
      <c r="O727" s="10"/>
    </row>
    <row r="728" customFormat="false" ht="15" hidden="false" customHeight="false" outlineLevel="0" collapsed="false">
      <c r="A728" s="10" t="n">
        <v>727</v>
      </c>
      <c r="B728" s="10" t="s">
        <v>1112</v>
      </c>
      <c r="C728" s="10" t="s">
        <v>1105</v>
      </c>
      <c r="D728" s="10" t="s">
        <v>1106</v>
      </c>
      <c r="E728" s="10" t="s">
        <v>92</v>
      </c>
      <c r="F728" s="10" t="s">
        <v>93</v>
      </c>
      <c r="G728" s="11" t="n">
        <v>82</v>
      </c>
      <c r="H728" s="11" t="n">
        <v>13</v>
      </c>
      <c r="I728" s="11" t="n">
        <v>3</v>
      </c>
      <c r="J728" s="11" t="n">
        <v>0</v>
      </c>
      <c r="K728" s="10" t="str">
        <f aca="false">IF(ISNUMBER(J728),IF(J728&lt;10,"ультра-НЧ",IF(J728&lt;100,"НЧ",IF(J728&lt;=1000,"СЧ","ВЧ"))),IF(ISNUMBER(I728),IF(I728&lt;10,"ультра-НЧ",IF(I728&lt;100,"НЧ",IF(I728&lt;=1000,"СЧ","ВЧ"))),"нет данных"))</f>
        <v>ультра-НЧ</v>
      </c>
      <c r="L728" s="12" t="n">
        <f aca="false">IF(AND(ISNUMBER(G728),G728&gt;0,ISNUMBER(I728)),I728/G728,"")</f>
        <v>0.0365853658536585</v>
      </c>
      <c r="M728" s="10" t="s">
        <v>105</v>
      </c>
      <c r="N728" s="10" t="s">
        <v>1112</v>
      </c>
      <c r="O728" s="10"/>
    </row>
    <row r="729" customFormat="false" ht="15" hidden="false" customHeight="false" outlineLevel="0" collapsed="false">
      <c r="A729" s="10" t="n">
        <v>728</v>
      </c>
      <c r="B729" s="10" t="s">
        <v>1113</v>
      </c>
      <c r="C729" s="10" t="s">
        <v>1105</v>
      </c>
      <c r="D729" s="10" t="s">
        <v>1106</v>
      </c>
      <c r="E729" s="10" t="s">
        <v>92</v>
      </c>
      <c r="F729" s="10" t="s">
        <v>93</v>
      </c>
      <c r="G729" s="11" t="n">
        <v>2</v>
      </c>
      <c r="H729" s="11" t="n">
        <v>0</v>
      </c>
      <c r="I729" s="11" t="n">
        <v>0</v>
      </c>
      <c r="J729" s="11" t="n">
        <v>0</v>
      </c>
      <c r="K729" s="10" t="str">
        <f aca="false">IF(ISNUMBER(J729),IF(J729&lt;10,"ультра-НЧ",IF(J729&lt;100,"НЧ",IF(J729&lt;=1000,"СЧ","ВЧ"))),IF(ISNUMBER(I729),IF(I729&lt;10,"ультра-НЧ",IF(I729&lt;100,"НЧ",IF(I729&lt;=1000,"СЧ","ВЧ"))),"нет данных"))</f>
        <v>ультра-НЧ</v>
      </c>
      <c r="L729" s="12" t="n">
        <f aca="false">IF(AND(ISNUMBER(G729),G729&gt;0,ISNUMBER(I729)),I729/G729,"")</f>
        <v>0</v>
      </c>
      <c r="M729" s="10" t="s">
        <v>94</v>
      </c>
      <c r="N729" s="10" t="s">
        <v>1113</v>
      </c>
      <c r="O729" s="10"/>
    </row>
    <row r="730" customFormat="false" ht="15" hidden="false" customHeight="false" outlineLevel="0" collapsed="false">
      <c r="A730" s="10" t="n">
        <v>729</v>
      </c>
      <c r="B730" s="10" t="s">
        <v>1114</v>
      </c>
      <c r="C730" s="10" t="s">
        <v>1105</v>
      </c>
      <c r="D730" s="10" t="s">
        <v>1106</v>
      </c>
      <c r="E730" s="10" t="s">
        <v>92</v>
      </c>
      <c r="F730" s="10" t="s">
        <v>136</v>
      </c>
      <c r="G730" s="11" t="n">
        <v>464</v>
      </c>
      <c r="H730" s="11"/>
      <c r="I730" s="11"/>
      <c r="J730" s="11"/>
      <c r="K730" s="10" t="str">
        <f aca="false">IF(ISNUMBER(J730),IF(J730&lt;10,"ультра-НЧ",IF(J730&lt;100,"НЧ",IF(J730&lt;=1000,"СЧ","ВЧ"))),IF(ISNUMBER(I730),IF(I730&lt;10,"ультра-НЧ",IF(I730&lt;100,"НЧ",IF(I730&lt;=1000,"СЧ","ВЧ"))),"нет данных"))</f>
        <v>нет данных</v>
      </c>
      <c r="L730" s="12" t="str">
        <f aca="false">IF(AND(ISNUMBER(G730),G730&gt;0,ISNUMBER(I730)),I730/G730,"")</f>
        <v/>
      </c>
      <c r="M730" s="10" t="s">
        <v>105</v>
      </c>
      <c r="N730" s="10" t="s">
        <v>1114</v>
      </c>
      <c r="O730" s="10" t="s">
        <v>107</v>
      </c>
    </row>
    <row r="731" customFormat="false" ht="15" hidden="false" customHeight="false" outlineLevel="0" collapsed="false">
      <c r="A731" s="10" t="n">
        <v>730</v>
      </c>
      <c r="B731" s="10" t="s">
        <v>1115</v>
      </c>
      <c r="C731" s="10" t="s">
        <v>1105</v>
      </c>
      <c r="D731" s="10" t="s">
        <v>1106</v>
      </c>
      <c r="E731" s="10" t="s">
        <v>92</v>
      </c>
      <c r="F731" s="10" t="s">
        <v>136</v>
      </c>
      <c r="G731" s="11" t="n">
        <v>454</v>
      </c>
      <c r="H731" s="11"/>
      <c r="I731" s="11"/>
      <c r="J731" s="11"/>
      <c r="K731" s="10" t="str">
        <f aca="false">IF(ISNUMBER(J731),IF(J731&lt;10,"ультра-НЧ",IF(J731&lt;100,"НЧ",IF(J731&lt;=1000,"СЧ","ВЧ"))),IF(ISNUMBER(I731),IF(I731&lt;10,"ультра-НЧ",IF(I731&lt;100,"НЧ",IF(I731&lt;=1000,"СЧ","ВЧ"))),"нет данных"))</f>
        <v>нет данных</v>
      </c>
      <c r="L731" s="12" t="str">
        <f aca="false">IF(AND(ISNUMBER(G731),G731&gt;0,ISNUMBER(I731)),I731/G731,"")</f>
        <v/>
      </c>
      <c r="M731" s="10" t="s">
        <v>105</v>
      </c>
      <c r="N731" s="10" t="s">
        <v>1115</v>
      </c>
      <c r="O731" s="10" t="s">
        <v>107</v>
      </c>
    </row>
    <row r="732" customFormat="false" ht="15" hidden="false" customHeight="false" outlineLevel="0" collapsed="false">
      <c r="A732" s="10" t="n">
        <v>731</v>
      </c>
      <c r="B732" s="10" t="s">
        <v>1116</v>
      </c>
      <c r="C732" s="10" t="s">
        <v>1105</v>
      </c>
      <c r="D732" s="10" t="s">
        <v>1106</v>
      </c>
      <c r="E732" s="10" t="s">
        <v>92</v>
      </c>
      <c r="F732" s="10" t="s">
        <v>136</v>
      </c>
      <c r="G732" s="11" t="n">
        <v>349</v>
      </c>
      <c r="H732" s="11"/>
      <c r="I732" s="11"/>
      <c r="J732" s="11"/>
      <c r="K732" s="10" t="str">
        <f aca="false">IF(ISNUMBER(J732),IF(J732&lt;10,"ультра-НЧ",IF(J732&lt;100,"НЧ",IF(J732&lt;=1000,"СЧ","ВЧ"))),IF(ISNUMBER(I732),IF(I732&lt;10,"ультра-НЧ",IF(I732&lt;100,"НЧ",IF(I732&lt;=1000,"СЧ","ВЧ"))),"нет данных"))</f>
        <v>нет данных</v>
      </c>
      <c r="L732" s="12" t="str">
        <f aca="false">IF(AND(ISNUMBER(G732),G732&gt;0,ISNUMBER(I732)),I732/G732,"")</f>
        <v/>
      </c>
      <c r="M732" s="10" t="s">
        <v>105</v>
      </c>
      <c r="N732" s="10" t="s">
        <v>1116</v>
      </c>
      <c r="O732" s="10" t="s">
        <v>107</v>
      </c>
    </row>
    <row r="733" customFormat="false" ht="15" hidden="false" customHeight="false" outlineLevel="0" collapsed="false">
      <c r="A733" s="10" t="n">
        <v>732</v>
      </c>
      <c r="B733" s="10" t="s">
        <v>1117</v>
      </c>
      <c r="C733" s="10" t="s">
        <v>1105</v>
      </c>
      <c r="D733" s="10" t="s">
        <v>1106</v>
      </c>
      <c r="E733" s="10" t="s">
        <v>92</v>
      </c>
      <c r="F733" s="10" t="s">
        <v>136</v>
      </c>
      <c r="G733" s="11" t="n">
        <v>280</v>
      </c>
      <c r="H733" s="11"/>
      <c r="I733" s="11"/>
      <c r="J733" s="11"/>
      <c r="K733" s="10" t="str">
        <f aca="false">IF(ISNUMBER(J733),IF(J733&lt;10,"ультра-НЧ",IF(J733&lt;100,"НЧ",IF(J733&lt;=1000,"СЧ","ВЧ"))),IF(ISNUMBER(I733),IF(I733&lt;10,"ультра-НЧ",IF(I733&lt;100,"НЧ",IF(I733&lt;=1000,"СЧ","ВЧ"))),"нет данных"))</f>
        <v>нет данных</v>
      </c>
      <c r="L733" s="12" t="str">
        <f aca="false">IF(AND(ISNUMBER(G733),G733&gt;0,ISNUMBER(I733)),I733/G733,"")</f>
        <v/>
      </c>
      <c r="M733" s="10" t="s">
        <v>105</v>
      </c>
      <c r="N733" s="10" t="s">
        <v>1117</v>
      </c>
      <c r="O733" s="10" t="s">
        <v>107</v>
      </c>
    </row>
    <row r="734" customFormat="false" ht="15" hidden="false" customHeight="false" outlineLevel="0" collapsed="false">
      <c r="A734" s="10" t="n">
        <v>733</v>
      </c>
      <c r="B734" s="10" t="s">
        <v>1118</v>
      </c>
      <c r="C734" s="10" t="s">
        <v>1105</v>
      </c>
      <c r="D734" s="10" t="s">
        <v>1106</v>
      </c>
      <c r="E734" s="10" t="s">
        <v>92</v>
      </c>
      <c r="F734" s="10" t="s">
        <v>136</v>
      </c>
      <c r="G734" s="11" t="n">
        <v>273</v>
      </c>
      <c r="H734" s="11"/>
      <c r="I734" s="11"/>
      <c r="J734" s="11"/>
      <c r="K734" s="10" t="str">
        <f aca="false">IF(ISNUMBER(J734),IF(J734&lt;10,"ультра-НЧ",IF(J734&lt;100,"НЧ",IF(J734&lt;=1000,"СЧ","ВЧ"))),IF(ISNUMBER(I734),IF(I734&lt;10,"ультра-НЧ",IF(I734&lt;100,"НЧ",IF(I734&lt;=1000,"СЧ","ВЧ"))),"нет данных"))</f>
        <v>нет данных</v>
      </c>
      <c r="L734" s="12" t="str">
        <f aca="false">IF(AND(ISNUMBER(G734),G734&gt;0,ISNUMBER(I734)),I734/G734,"")</f>
        <v/>
      </c>
      <c r="M734" s="10" t="s">
        <v>105</v>
      </c>
      <c r="N734" s="10" t="s">
        <v>1118</v>
      </c>
      <c r="O734" s="10" t="s">
        <v>107</v>
      </c>
    </row>
    <row r="735" customFormat="false" ht="15" hidden="false" customHeight="false" outlineLevel="0" collapsed="false">
      <c r="A735" s="10" t="n">
        <v>734</v>
      </c>
      <c r="B735" s="10" t="s">
        <v>1119</v>
      </c>
      <c r="C735" s="10" t="s">
        <v>1105</v>
      </c>
      <c r="D735" s="10" t="s">
        <v>1106</v>
      </c>
      <c r="E735" s="10" t="s">
        <v>92</v>
      </c>
      <c r="F735" s="10" t="s">
        <v>136</v>
      </c>
      <c r="G735" s="11" t="n">
        <v>228</v>
      </c>
      <c r="H735" s="11"/>
      <c r="I735" s="11"/>
      <c r="J735" s="11"/>
      <c r="K735" s="10" t="str">
        <f aca="false">IF(ISNUMBER(J735),IF(J735&lt;10,"ультра-НЧ",IF(J735&lt;100,"НЧ",IF(J735&lt;=1000,"СЧ","ВЧ"))),IF(ISNUMBER(I735),IF(I735&lt;10,"ультра-НЧ",IF(I735&lt;100,"НЧ",IF(I735&lt;=1000,"СЧ","ВЧ"))),"нет данных"))</f>
        <v>нет данных</v>
      </c>
      <c r="L735" s="12" t="str">
        <f aca="false">IF(AND(ISNUMBER(G735),G735&gt;0,ISNUMBER(I735)),I735/G735,"")</f>
        <v/>
      </c>
      <c r="M735" s="10" t="s">
        <v>105</v>
      </c>
      <c r="N735" s="10" t="s">
        <v>1119</v>
      </c>
      <c r="O735" s="10" t="s">
        <v>107</v>
      </c>
    </row>
    <row r="736" customFormat="false" ht="15" hidden="false" customHeight="false" outlineLevel="0" collapsed="false">
      <c r="A736" s="10" t="n">
        <v>735</v>
      </c>
      <c r="B736" s="10" t="s">
        <v>1120</v>
      </c>
      <c r="C736" s="10" t="s">
        <v>1105</v>
      </c>
      <c r="D736" s="10" t="s">
        <v>1106</v>
      </c>
      <c r="E736" s="10" t="s">
        <v>92</v>
      </c>
      <c r="F736" s="10" t="s">
        <v>136</v>
      </c>
      <c r="G736" s="11" t="n">
        <v>225</v>
      </c>
      <c r="H736" s="11"/>
      <c r="I736" s="11"/>
      <c r="J736" s="11"/>
      <c r="K736" s="10" t="str">
        <f aca="false">IF(ISNUMBER(J736),IF(J736&lt;10,"ультра-НЧ",IF(J736&lt;100,"НЧ",IF(J736&lt;=1000,"СЧ","ВЧ"))),IF(ISNUMBER(I736),IF(I736&lt;10,"ультра-НЧ",IF(I736&lt;100,"НЧ",IF(I736&lt;=1000,"СЧ","ВЧ"))),"нет данных"))</f>
        <v>нет данных</v>
      </c>
      <c r="L736" s="12" t="str">
        <f aca="false">IF(AND(ISNUMBER(G736),G736&gt;0,ISNUMBER(I736)),I736/G736,"")</f>
        <v/>
      </c>
      <c r="M736" s="10" t="s">
        <v>105</v>
      </c>
      <c r="N736" s="10" t="s">
        <v>1120</v>
      </c>
      <c r="O736" s="10" t="s">
        <v>107</v>
      </c>
    </row>
    <row r="737" customFormat="false" ht="15" hidden="false" customHeight="false" outlineLevel="0" collapsed="false">
      <c r="A737" s="10" t="n">
        <v>736</v>
      </c>
      <c r="B737" s="10" t="s">
        <v>1121</v>
      </c>
      <c r="C737" s="10" t="s">
        <v>1105</v>
      </c>
      <c r="D737" s="10" t="s">
        <v>1106</v>
      </c>
      <c r="E737" s="10" t="s">
        <v>92</v>
      </c>
      <c r="F737" s="10" t="s">
        <v>136</v>
      </c>
      <c r="G737" s="11" t="n">
        <v>222</v>
      </c>
      <c r="H737" s="11"/>
      <c r="I737" s="11"/>
      <c r="J737" s="11"/>
      <c r="K737" s="10" t="str">
        <f aca="false">IF(ISNUMBER(J737),IF(J737&lt;10,"ультра-НЧ",IF(J737&lt;100,"НЧ",IF(J737&lt;=1000,"СЧ","ВЧ"))),IF(ISNUMBER(I737),IF(I737&lt;10,"ультра-НЧ",IF(I737&lt;100,"НЧ",IF(I737&lt;=1000,"СЧ","ВЧ"))),"нет данных"))</f>
        <v>нет данных</v>
      </c>
      <c r="L737" s="12" t="str">
        <f aca="false">IF(AND(ISNUMBER(G737),G737&gt;0,ISNUMBER(I737)),I737/G737,"")</f>
        <v/>
      </c>
      <c r="M737" s="10" t="s">
        <v>105</v>
      </c>
      <c r="N737" s="10" t="s">
        <v>1121</v>
      </c>
      <c r="O737" s="10" t="s">
        <v>107</v>
      </c>
    </row>
    <row r="738" customFormat="false" ht="15" hidden="false" customHeight="false" outlineLevel="0" collapsed="false">
      <c r="A738" s="10" t="n">
        <v>737</v>
      </c>
      <c r="B738" s="10" t="s">
        <v>1122</v>
      </c>
      <c r="C738" s="10" t="s">
        <v>1105</v>
      </c>
      <c r="D738" s="10" t="s">
        <v>1106</v>
      </c>
      <c r="E738" s="10" t="s">
        <v>92</v>
      </c>
      <c r="F738" s="10" t="s">
        <v>136</v>
      </c>
      <c r="G738" s="11" t="n">
        <v>207</v>
      </c>
      <c r="H738" s="11"/>
      <c r="I738" s="11"/>
      <c r="J738" s="11"/>
      <c r="K738" s="10" t="str">
        <f aca="false">IF(ISNUMBER(J738),IF(J738&lt;10,"ультра-НЧ",IF(J738&lt;100,"НЧ",IF(J738&lt;=1000,"СЧ","ВЧ"))),IF(ISNUMBER(I738),IF(I738&lt;10,"ультра-НЧ",IF(I738&lt;100,"НЧ",IF(I738&lt;=1000,"СЧ","ВЧ"))),"нет данных"))</f>
        <v>нет данных</v>
      </c>
      <c r="L738" s="12" t="str">
        <f aca="false">IF(AND(ISNUMBER(G738),G738&gt;0,ISNUMBER(I738)),I738/G738,"")</f>
        <v/>
      </c>
      <c r="M738" s="10" t="s">
        <v>112</v>
      </c>
      <c r="N738" s="10" t="s">
        <v>1122</v>
      </c>
      <c r="O738" s="10"/>
    </row>
    <row r="739" customFormat="false" ht="15" hidden="false" customHeight="false" outlineLevel="0" collapsed="false">
      <c r="A739" s="10" t="n">
        <v>738</v>
      </c>
      <c r="B739" s="10" t="s">
        <v>1123</v>
      </c>
      <c r="C739" s="10" t="s">
        <v>1105</v>
      </c>
      <c r="D739" s="10" t="s">
        <v>1106</v>
      </c>
      <c r="E739" s="10" t="s">
        <v>92</v>
      </c>
      <c r="F739" s="10" t="s">
        <v>136</v>
      </c>
      <c r="G739" s="11" t="n">
        <v>196</v>
      </c>
      <c r="H739" s="11"/>
      <c r="I739" s="11"/>
      <c r="J739" s="11"/>
      <c r="K739" s="10" t="str">
        <f aca="false">IF(ISNUMBER(J739),IF(J739&lt;10,"ультра-НЧ",IF(J739&lt;100,"НЧ",IF(J739&lt;=1000,"СЧ","ВЧ"))),IF(ISNUMBER(I739),IF(I739&lt;10,"ультра-НЧ",IF(I739&lt;100,"НЧ",IF(I739&lt;=1000,"СЧ","ВЧ"))),"нет данных"))</f>
        <v>нет данных</v>
      </c>
      <c r="L739" s="12" t="str">
        <f aca="false">IF(AND(ISNUMBER(G739),G739&gt;0,ISNUMBER(I739)),I739/G739,"")</f>
        <v/>
      </c>
      <c r="M739" s="10" t="s">
        <v>105</v>
      </c>
      <c r="N739" s="10" t="s">
        <v>1124</v>
      </c>
      <c r="O739" s="10" t="s">
        <v>107</v>
      </c>
    </row>
    <row r="740" customFormat="false" ht="15" hidden="false" customHeight="false" outlineLevel="0" collapsed="false">
      <c r="A740" s="10" t="n">
        <v>739</v>
      </c>
      <c r="B740" s="10" t="s">
        <v>1125</v>
      </c>
      <c r="C740" s="10" t="s">
        <v>1105</v>
      </c>
      <c r="D740" s="10" t="s">
        <v>1106</v>
      </c>
      <c r="E740" s="10" t="s">
        <v>92</v>
      </c>
      <c r="F740" s="10" t="s">
        <v>136</v>
      </c>
      <c r="G740" s="11" t="n">
        <v>157</v>
      </c>
      <c r="H740" s="11"/>
      <c r="I740" s="11"/>
      <c r="J740" s="11"/>
      <c r="K740" s="10" t="str">
        <f aca="false">IF(ISNUMBER(J740),IF(J740&lt;10,"ультра-НЧ",IF(J740&lt;100,"НЧ",IF(J740&lt;=1000,"СЧ","ВЧ"))),IF(ISNUMBER(I740),IF(I740&lt;10,"ультра-НЧ",IF(I740&lt;100,"НЧ",IF(I740&lt;=1000,"СЧ","ВЧ"))),"нет данных"))</f>
        <v>нет данных</v>
      </c>
      <c r="L740" s="12" t="str">
        <f aca="false">IF(AND(ISNUMBER(G740),G740&gt;0,ISNUMBER(I740)),I740/G740,"")</f>
        <v/>
      </c>
      <c r="M740" s="10" t="s">
        <v>105</v>
      </c>
      <c r="N740" s="10" t="s">
        <v>1125</v>
      </c>
      <c r="O740" s="10" t="s">
        <v>107</v>
      </c>
    </row>
    <row r="741" customFormat="false" ht="15" hidden="false" customHeight="false" outlineLevel="0" collapsed="false">
      <c r="A741" s="10" t="n">
        <v>740</v>
      </c>
      <c r="B741" s="10" t="s">
        <v>1126</v>
      </c>
      <c r="C741" s="10" t="s">
        <v>1105</v>
      </c>
      <c r="D741" s="10" t="s">
        <v>1106</v>
      </c>
      <c r="E741" s="10" t="s">
        <v>92</v>
      </c>
      <c r="F741" s="10" t="s">
        <v>136</v>
      </c>
      <c r="G741" s="11" t="n">
        <v>146</v>
      </c>
      <c r="H741" s="11"/>
      <c r="I741" s="11"/>
      <c r="J741" s="11"/>
      <c r="K741" s="10" t="str">
        <f aca="false">IF(ISNUMBER(J741),IF(J741&lt;10,"ультра-НЧ",IF(J741&lt;100,"НЧ",IF(J741&lt;=1000,"СЧ","ВЧ"))),IF(ISNUMBER(I741),IF(I741&lt;10,"ультра-НЧ",IF(I741&lt;100,"НЧ",IF(I741&lt;=1000,"СЧ","ВЧ"))),"нет данных"))</f>
        <v>нет данных</v>
      </c>
      <c r="L741" s="12" t="str">
        <f aca="false">IF(AND(ISNUMBER(G741),G741&gt;0,ISNUMBER(I741)),I741/G741,"")</f>
        <v/>
      </c>
      <c r="M741" s="10" t="s">
        <v>105</v>
      </c>
      <c r="N741" s="10" t="s">
        <v>1126</v>
      </c>
      <c r="O741" s="10" t="s">
        <v>107</v>
      </c>
    </row>
    <row r="742" customFormat="false" ht="15" hidden="false" customHeight="false" outlineLevel="0" collapsed="false">
      <c r="A742" s="10" t="n">
        <v>741</v>
      </c>
      <c r="B742" s="10" t="s">
        <v>1127</v>
      </c>
      <c r="C742" s="10" t="s">
        <v>1105</v>
      </c>
      <c r="D742" s="10" t="s">
        <v>1106</v>
      </c>
      <c r="E742" s="10" t="s">
        <v>92</v>
      </c>
      <c r="F742" s="10" t="s">
        <v>136</v>
      </c>
      <c r="G742" s="11" t="n">
        <v>119</v>
      </c>
      <c r="H742" s="11"/>
      <c r="I742" s="11"/>
      <c r="J742" s="11"/>
      <c r="K742" s="10" t="str">
        <f aca="false">IF(ISNUMBER(J742),IF(J742&lt;10,"ультра-НЧ",IF(J742&lt;100,"НЧ",IF(J742&lt;=1000,"СЧ","ВЧ"))),IF(ISNUMBER(I742),IF(I742&lt;10,"ультра-НЧ",IF(I742&lt;100,"НЧ",IF(I742&lt;=1000,"СЧ","ВЧ"))),"нет данных"))</f>
        <v>нет данных</v>
      </c>
      <c r="L742" s="12" t="str">
        <f aca="false">IF(AND(ISNUMBER(G742),G742&gt;0,ISNUMBER(I742)),I742/G742,"")</f>
        <v/>
      </c>
      <c r="M742" s="10" t="s">
        <v>105</v>
      </c>
      <c r="N742" s="10" t="s">
        <v>1127</v>
      </c>
      <c r="O742" s="10" t="s">
        <v>107</v>
      </c>
    </row>
    <row r="743" customFormat="false" ht="15" hidden="false" customHeight="false" outlineLevel="0" collapsed="false">
      <c r="A743" s="10" t="n">
        <v>742</v>
      </c>
      <c r="B743" s="10" t="s">
        <v>1128</v>
      </c>
      <c r="C743" s="10" t="s">
        <v>1105</v>
      </c>
      <c r="D743" s="10" t="s">
        <v>1106</v>
      </c>
      <c r="E743" s="10" t="s">
        <v>92</v>
      </c>
      <c r="F743" s="10" t="s">
        <v>136</v>
      </c>
      <c r="G743" s="11" t="n">
        <v>111</v>
      </c>
      <c r="H743" s="11"/>
      <c r="I743" s="11"/>
      <c r="J743" s="11"/>
      <c r="K743" s="10" t="str">
        <f aca="false">IF(ISNUMBER(J743),IF(J743&lt;10,"ультра-НЧ",IF(J743&lt;100,"НЧ",IF(J743&lt;=1000,"СЧ","ВЧ"))),IF(ISNUMBER(I743),IF(I743&lt;10,"ультра-НЧ",IF(I743&lt;100,"НЧ",IF(I743&lt;=1000,"СЧ","ВЧ"))),"нет данных"))</f>
        <v>нет данных</v>
      </c>
      <c r="L743" s="12" t="str">
        <f aca="false">IF(AND(ISNUMBER(G743),G743&gt;0,ISNUMBER(I743)),I743/G743,"")</f>
        <v/>
      </c>
      <c r="M743" s="10" t="s">
        <v>105</v>
      </c>
      <c r="N743" s="10" t="s">
        <v>1129</v>
      </c>
      <c r="O743" s="10" t="s">
        <v>107</v>
      </c>
    </row>
    <row r="744" customFormat="false" ht="15" hidden="false" customHeight="false" outlineLevel="0" collapsed="false">
      <c r="A744" s="10" t="n">
        <v>743</v>
      </c>
      <c r="B744" s="10" t="s">
        <v>1130</v>
      </c>
      <c r="C744" s="10" t="s">
        <v>1105</v>
      </c>
      <c r="D744" s="10" t="s">
        <v>1106</v>
      </c>
      <c r="E744" s="10" t="s">
        <v>92</v>
      </c>
      <c r="F744" s="10" t="s">
        <v>136</v>
      </c>
      <c r="G744" s="11" t="n">
        <v>111</v>
      </c>
      <c r="H744" s="11"/>
      <c r="I744" s="11"/>
      <c r="J744" s="11"/>
      <c r="K744" s="10" t="str">
        <f aca="false">IF(ISNUMBER(J744),IF(J744&lt;10,"ультра-НЧ",IF(J744&lt;100,"НЧ",IF(J744&lt;=1000,"СЧ","ВЧ"))),IF(ISNUMBER(I744),IF(I744&lt;10,"ультра-НЧ",IF(I744&lt;100,"НЧ",IF(I744&lt;=1000,"СЧ","ВЧ"))),"нет данных"))</f>
        <v>нет данных</v>
      </c>
      <c r="L744" s="12" t="str">
        <f aca="false">IF(AND(ISNUMBER(G744),G744&gt;0,ISNUMBER(I744)),I744/G744,"")</f>
        <v/>
      </c>
      <c r="M744" s="10" t="s">
        <v>112</v>
      </c>
      <c r="N744" s="10" t="s">
        <v>1130</v>
      </c>
      <c r="O744" s="10"/>
    </row>
    <row r="745" customFormat="false" ht="15" hidden="false" customHeight="false" outlineLevel="0" collapsed="false">
      <c r="A745" s="10" t="n">
        <v>744</v>
      </c>
      <c r="B745" s="10" t="s">
        <v>1131</v>
      </c>
      <c r="C745" s="10" t="s">
        <v>1105</v>
      </c>
      <c r="D745" s="10" t="s">
        <v>1106</v>
      </c>
      <c r="E745" s="10" t="s">
        <v>92</v>
      </c>
      <c r="F745" s="10" t="s">
        <v>136</v>
      </c>
      <c r="G745" s="11" t="n">
        <v>107</v>
      </c>
      <c r="H745" s="11"/>
      <c r="I745" s="11"/>
      <c r="J745" s="11"/>
      <c r="K745" s="10" t="str">
        <f aca="false">IF(ISNUMBER(J745),IF(J745&lt;10,"ультра-НЧ",IF(J745&lt;100,"НЧ",IF(J745&lt;=1000,"СЧ","ВЧ"))),IF(ISNUMBER(I745),IF(I745&lt;10,"ультра-НЧ",IF(I745&lt;100,"НЧ",IF(I745&lt;=1000,"СЧ","ВЧ"))),"нет данных"))</f>
        <v>нет данных</v>
      </c>
      <c r="L745" s="12" t="str">
        <f aca="false">IF(AND(ISNUMBER(G745),G745&gt;0,ISNUMBER(I745)),I745/G745,"")</f>
        <v/>
      </c>
      <c r="M745" s="10" t="s">
        <v>112</v>
      </c>
      <c r="N745" s="10" t="s">
        <v>1131</v>
      </c>
      <c r="O745" s="10"/>
    </row>
    <row r="746" customFormat="false" ht="15" hidden="false" customHeight="false" outlineLevel="0" collapsed="false">
      <c r="A746" s="10" t="n">
        <v>745</v>
      </c>
      <c r="B746" s="10" t="s">
        <v>1132</v>
      </c>
      <c r="C746" s="10" t="s">
        <v>1105</v>
      </c>
      <c r="D746" s="10" t="s">
        <v>1106</v>
      </c>
      <c r="E746" s="10" t="s">
        <v>92</v>
      </c>
      <c r="F746" s="10" t="s">
        <v>136</v>
      </c>
      <c r="G746" s="11" t="n">
        <v>99</v>
      </c>
      <c r="H746" s="11"/>
      <c r="I746" s="11"/>
      <c r="J746" s="11"/>
      <c r="K746" s="10" t="str">
        <f aca="false">IF(ISNUMBER(J746),IF(J746&lt;10,"ультра-НЧ",IF(J746&lt;100,"НЧ",IF(J746&lt;=1000,"СЧ","ВЧ"))),IF(ISNUMBER(I746),IF(I746&lt;10,"ультра-НЧ",IF(I746&lt;100,"НЧ",IF(I746&lt;=1000,"СЧ","ВЧ"))),"нет данных"))</f>
        <v>нет данных</v>
      </c>
      <c r="L746" s="12" t="str">
        <f aca="false">IF(AND(ISNUMBER(G746),G746&gt;0,ISNUMBER(I746)),I746/G746,"")</f>
        <v/>
      </c>
      <c r="M746" s="10" t="s">
        <v>105</v>
      </c>
      <c r="N746" s="10" t="s">
        <v>1132</v>
      </c>
      <c r="O746" s="10" t="s">
        <v>107</v>
      </c>
    </row>
    <row r="747" customFormat="false" ht="15" hidden="false" customHeight="false" outlineLevel="0" collapsed="false">
      <c r="A747" s="10" t="n">
        <v>746</v>
      </c>
      <c r="B747" s="10" t="s">
        <v>1133</v>
      </c>
      <c r="C747" s="10" t="s">
        <v>1105</v>
      </c>
      <c r="D747" s="10" t="s">
        <v>1106</v>
      </c>
      <c r="E747" s="10" t="s">
        <v>92</v>
      </c>
      <c r="F747" s="10" t="s">
        <v>136</v>
      </c>
      <c r="G747" s="11" t="n">
        <v>94</v>
      </c>
      <c r="H747" s="11"/>
      <c r="I747" s="11"/>
      <c r="J747" s="11"/>
      <c r="K747" s="10" t="str">
        <f aca="false">IF(ISNUMBER(J747),IF(J747&lt;10,"ультра-НЧ",IF(J747&lt;100,"НЧ",IF(J747&lt;=1000,"СЧ","ВЧ"))),IF(ISNUMBER(I747),IF(I747&lt;10,"ультра-НЧ",IF(I747&lt;100,"НЧ",IF(I747&lt;=1000,"СЧ","ВЧ"))),"нет данных"))</f>
        <v>нет данных</v>
      </c>
      <c r="L747" s="12" t="str">
        <f aca="false">IF(AND(ISNUMBER(G747),G747&gt;0,ISNUMBER(I747)),I747/G747,"")</f>
        <v/>
      </c>
      <c r="M747" s="10" t="s">
        <v>105</v>
      </c>
      <c r="N747" s="10" t="s">
        <v>1134</v>
      </c>
      <c r="O747" s="10" t="s">
        <v>107</v>
      </c>
    </row>
    <row r="748" customFormat="false" ht="15" hidden="false" customHeight="false" outlineLevel="0" collapsed="false">
      <c r="A748" s="10" t="n">
        <v>747</v>
      </c>
      <c r="B748" s="10" t="s">
        <v>1135</v>
      </c>
      <c r="C748" s="10" t="s">
        <v>1105</v>
      </c>
      <c r="D748" s="10" t="s">
        <v>1106</v>
      </c>
      <c r="E748" s="10" t="s">
        <v>92</v>
      </c>
      <c r="F748" s="10" t="s">
        <v>136</v>
      </c>
      <c r="G748" s="11" t="n">
        <v>85</v>
      </c>
      <c r="H748" s="11"/>
      <c r="I748" s="11"/>
      <c r="J748" s="11"/>
      <c r="K748" s="10" t="str">
        <f aca="false">IF(ISNUMBER(J748),IF(J748&lt;10,"ультра-НЧ",IF(J748&lt;100,"НЧ",IF(J748&lt;=1000,"СЧ","ВЧ"))),IF(ISNUMBER(I748),IF(I748&lt;10,"ультра-НЧ",IF(I748&lt;100,"НЧ",IF(I748&lt;=1000,"СЧ","ВЧ"))),"нет данных"))</f>
        <v>нет данных</v>
      </c>
      <c r="L748" s="12" t="str">
        <f aca="false">IF(AND(ISNUMBER(G748),G748&gt;0,ISNUMBER(I748)),I748/G748,"")</f>
        <v/>
      </c>
      <c r="M748" s="10" t="s">
        <v>105</v>
      </c>
      <c r="N748" s="10" t="s">
        <v>1135</v>
      </c>
      <c r="O748" s="10" t="s">
        <v>107</v>
      </c>
    </row>
    <row r="749" customFormat="false" ht="15" hidden="false" customHeight="false" outlineLevel="0" collapsed="false">
      <c r="A749" s="10" t="n">
        <v>748</v>
      </c>
      <c r="B749" s="10" t="s">
        <v>1136</v>
      </c>
      <c r="C749" s="10" t="s">
        <v>1105</v>
      </c>
      <c r="D749" s="10" t="s">
        <v>1106</v>
      </c>
      <c r="E749" s="10" t="s">
        <v>92</v>
      </c>
      <c r="F749" s="10" t="s">
        <v>136</v>
      </c>
      <c r="G749" s="11" t="n">
        <v>83</v>
      </c>
      <c r="H749" s="11"/>
      <c r="I749" s="11"/>
      <c r="J749" s="11"/>
      <c r="K749" s="10" t="str">
        <f aca="false">IF(ISNUMBER(J749),IF(J749&lt;10,"ультра-НЧ",IF(J749&lt;100,"НЧ",IF(J749&lt;=1000,"СЧ","ВЧ"))),IF(ISNUMBER(I749),IF(I749&lt;10,"ультра-НЧ",IF(I749&lt;100,"НЧ",IF(I749&lt;=1000,"СЧ","ВЧ"))),"нет данных"))</f>
        <v>нет данных</v>
      </c>
      <c r="L749" s="12" t="str">
        <f aca="false">IF(AND(ISNUMBER(G749),G749&gt;0,ISNUMBER(I749)),I749/G749,"")</f>
        <v/>
      </c>
      <c r="M749" s="10" t="s">
        <v>105</v>
      </c>
      <c r="N749" s="10" t="s">
        <v>1136</v>
      </c>
      <c r="O749" s="10" t="s">
        <v>107</v>
      </c>
    </row>
    <row r="750" customFormat="false" ht="15" hidden="false" customHeight="false" outlineLevel="0" collapsed="false">
      <c r="A750" s="10" t="n">
        <v>749</v>
      </c>
      <c r="B750" s="10" t="s">
        <v>1137</v>
      </c>
      <c r="C750" s="10" t="s">
        <v>1105</v>
      </c>
      <c r="D750" s="10" t="s">
        <v>1106</v>
      </c>
      <c r="E750" s="10" t="s">
        <v>92</v>
      </c>
      <c r="F750" s="10" t="s">
        <v>136</v>
      </c>
      <c r="G750" s="11" t="n">
        <v>76</v>
      </c>
      <c r="H750" s="11"/>
      <c r="I750" s="11"/>
      <c r="J750" s="11"/>
      <c r="K750" s="10" t="str">
        <f aca="false">IF(ISNUMBER(J750),IF(J750&lt;10,"ультра-НЧ",IF(J750&lt;100,"НЧ",IF(J750&lt;=1000,"СЧ","ВЧ"))),IF(ISNUMBER(I750),IF(I750&lt;10,"ультра-НЧ",IF(I750&lt;100,"НЧ",IF(I750&lt;=1000,"СЧ","ВЧ"))),"нет данных"))</f>
        <v>нет данных</v>
      </c>
      <c r="L750" s="12" t="str">
        <f aca="false">IF(AND(ISNUMBER(G750),G750&gt;0,ISNUMBER(I750)),I750/G750,"")</f>
        <v/>
      </c>
      <c r="M750" s="10" t="s">
        <v>105</v>
      </c>
      <c r="N750" s="10" t="s">
        <v>1137</v>
      </c>
      <c r="O750" s="10" t="s">
        <v>107</v>
      </c>
    </row>
    <row r="751" customFormat="false" ht="15" hidden="false" customHeight="false" outlineLevel="0" collapsed="false">
      <c r="A751" s="10" t="n">
        <v>750</v>
      </c>
      <c r="B751" s="10" t="s">
        <v>1138</v>
      </c>
      <c r="C751" s="10" t="s">
        <v>1105</v>
      </c>
      <c r="D751" s="10" t="s">
        <v>1106</v>
      </c>
      <c r="E751" s="10" t="s">
        <v>92</v>
      </c>
      <c r="F751" s="10" t="s">
        <v>136</v>
      </c>
      <c r="G751" s="11" t="n">
        <v>73</v>
      </c>
      <c r="H751" s="11"/>
      <c r="I751" s="11"/>
      <c r="J751" s="11"/>
      <c r="K751" s="10" t="str">
        <f aca="false">IF(ISNUMBER(J751),IF(J751&lt;10,"ультра-НЧ",IF(J751&lt;100,"НЧ",IF(J751&lt;=1000,"СЧ","ВЧ"))),IF(ISNUMBER(I751),IF(I751&lt;10,"ультра-НЧ",IF(I751&lt;100,"НЧ",IF(I751&lt;=1000,"СЧ","ВЧ"))),"нет данных"))</f>
        <v>нет данных</v>
      </c>
      <c r="L751" s="12" t="str">
        <f aca="false">IF(AND(ISNUMBER(G751),G751&gt;0,ISNUMBER(I751)),I751/G751,"")</f>
        <v/>
      </c>
      <c r="M751" s="10" t="s">
        <v>105</v>
      </c>
      <c r="N751" s="10" t="s">
        <v>1138</v>
      </c>
      <c r="O751" s="10" t="s">
        <v>107</v>
      </c>
    </row>
    <row r="752" customFormat="false" ht="15" hidden="false" customHeight="false" outlineLevel="0" collapsed="false">
      <c r="A752" s="10" t="n">
        <v>751</v>
      </c>
      <c r="B752" s="10" t="s">
        <v>1139</v>
      </c>
      <c r="C752" s="10" t="s">
        <v>1105</v>
      </c>
      <c r="D752" s="10" t="s">
        <v>1106</v>
      </c>
      <c r="E752" s="10" t="s">
        <v>92</v>
      </c>
      <c r="F752" s="10" t="s">
        <v>136</v>
      </c>
      <c r="G752" s="11" t="n">
        <v>70</v>
      </c>
      <c r="H752" s="11"/>
      <c r="I752" s="11"/>
      <c r="J752" s="11"/>
      <c r="K752" s="10" t="str">
        <f aca="false">IF(ISNUMBER(J752),IF(J752&lt;10,"ультра-НЧ",IF(J752&lt;100,"НЧ",IF(J752&lt;=1000,"СЧ","ВЧ"))),IF(ISNUMBER(I752),IF(I752&lt;10,"ультра-НЧ",IF(I752&lt;100,"НЧ",IF(I752&lt;=1000,"СЧ","ВЧ"))),"нет данных"))</f>
        <v>нет данных</v>
      </c>
      <c r="L752" s="12" t="str">
        <f aca="false">IF(AND(ISNUMBER(G752),G752&gt;0,ISNUMBER(I752)),I752/G752,"")</f>
        <v/>
      </c>
      <c r="M752" s="10" t="s">
        <v>105</v>
      </c>
      <c r="N752" s="10" t="s">
        <v>1139</v>
      </c>
      <c r="O752" s="10" t="s">
        <v>107</v>
      </c>
    </row>
    <row r="753" customFormat="false" ht="15" hidden="false" customHeight="false" outlineLevel="0" collapsed="false">
      <c r="A753" s="10" t="n">
        <v>752</v>
      </c>
      <c r="B753" s="10" t="s">
        <v>1140</v>
      </c>
      <c r="C753" s="10" t="s">
        <v>1105</v>
      </c>
      <c r="D753" s="10" t="s">
        <v>1106</v>
      </c>
      <c r="E753" s="10" t="s">
        <v>92</v>
      </c>
      <c r="F753" s="10" t="s">
        <v>136</v>
      </c>
      <c r="G753" s="11" t="n">
        <v>61</v>
      </c>
      <c r="H753" s="11"/>
      <c r="I753" s="11"/>
      <c r="J753" s="11"/>
      <c r="K753" s="10" t="str">
        <f aca="false">IF(ISNUMBER(J753),IF(J753&lt;10,"ультра-НЧ",IF(J753&lt;100,"НЧ",IF(J753&lt;=1000,"СЧ","ВЧ"))),IF(ISNUMBER(I753),IF(I753&lt;10,"ультра-НЧ",IF(I753&lt;100,"НЧ",IF(I753&lt;=1000,"СЧ","ВЧ"))),"нет данных"))</f>
        <v>нет данных</v>
      </c>
      <c r="L753" s="12" t="str">
        <f aca="false">IF(AND(ISNUMBER(G753),G753&gt;0,ISNUMBER(I753)),I753/G753,"")</f>
        <v/>
      </c>
      <c r="M753" s="10" t="s">
        <v>105</v>
      </c>
      <c r="N753" s="10" t="s">
        <v>1140</v>
      </c>
      <c r="O753" s="10" t="s">
        <v>107</v>
      </c>
    </row>
    <row r="754" customFormat="false" ht="15" hidden="false" customHeight="false" outlineLevel="0" collapsed="false">
      <c r="A754" s="10" t="n">
        <v>753</v>
      </c>
      <c r="B754" s="10" t="s">
        <v>1141</v>
      </c>
      <c r="C754" s="10" t="s">
        <v>1105</v>
      </c>
      <c r="D754" s="10" t="s">
        <v>1106</v>
      </c>
      <c r="E754" s="10" t="s">
        <v>92</v>
      </c>
      <c r="F754" s="10" t="s">
        <v>136</v>
      </c>
      <c r="G754" s="11" t="n">
        <v>57</v>
      </c>
      <c r="H754" s="11"/>
      <c r="I754" s="11"/>
      <c r="J754" s="11"/>
      <c r="K754" s="10" t="str">
        <f aca="false">IF(ISNUMBER(J754),IF(J754&lt;10,"ультра-НЧ",IF(J754&lt;100,"НЧ",IF(J754&lt;=1000,"СЧ","ВЧ"))),IF(ISNUMBER(I754),IF(I754&lt;10,"ультра-НЧ",IF(I754&lt;100,"НЧ",IF(I754&lt;=1000,"СЧ","ВЧ"))),"нет данных"))</f>
        <v>нет данных</v>
      </c>
      <c r="L754" s="12" t="str">
        <f aca="false">IF(AND(ISNUMBER(G754),G754&gt;0,ISNUMBER(I754)),I754/G754,"")</f>
        <v/>
      </c>
      <c r="M754" s="10" t="s">
        <v>105</v>
      </c>
      <c r="N754" s="10" t="s">
        <v>1141</v>
      </c>
      <c r="O754" s="10" t="s">
        <v>107</v>
      </c>
    </row>
    <row r="755" customFormat="false" ht="15" hidden="false" customHeight="false" outlineLevel="0" collapsed="false">
      <c r="A755" s="10" t="n">
        <v>754</v>
      </c>
      <c r="B755" s="10" t="s">
        <v>1142</v>
      </c>
      <c r="C755" s="10" t="s">
        <v>1105</v>
      </c>
      <c r="D755" s="10" t="s">
        <v>1106</v>
      </c>
      <c r="E755" s="10" t="s">
        <v>92</v>
      </c>
      <c r="F755" s="10" t="s">
        <v>136</v>
      </c>
      <c r="G755" s="11" t="n">
        <v>54</v>
      </c>
      <c r="H755" s="11"/>
      <c r="I755" s="11"/>
      <c r="J755" s="11"/>
      <c r="K755" s="10" t="str">
        <f aca="false">IF(ISNUMBER(J755),IF(J755&lt;10,"ультра-НЧ",IF(J755&lt;100,"НЧ",IF(J755&lt;=1000,"СЧ","ВЧ"))),IF(ISNUMBER(I755),IF(I755&lt;10,"ультра-НЧ",IF(I755&lt;100,"НЧ",IF(I755&lt;=1000,"СЧ","ВЧ"))),"нет данных"))</f>
        <v>нет данных</v>
      </c>
      <c r="L755" s="12" t="str">
        <f aca="false">IF(AND(ISNUMBER(G755),G755&gt;0,ISNUMBER(I755)),I755/G755,"")</f>
        <v/>
      </c>
      <c r="M755" s="10" t="s">
        <v>105</v>
      </c>
      <c r="N755" s="10" t="s">
        <v>1142</v>
      </c>
      <c r="O755" s="10" t="s">
        <v>107</v>
      </c>
    </row>
    <row r="756" customFormat="false" ht="15" hidden="false" customHeight="false" outlineLevel="0" collapsed="false">
      <c r="A756" s="10" t="n">
        <v>755</v>
      </c>
      <c r="B756" s="10" t="s">
        <v>1143</v>
      </c>
      <c r="C756" s="10" t="s">
        <v>1105</v>
      </c>
      <c r="D756" s="10" t="s">
        <v>1106</v>
      </c>
      <c r="E756" s="10" t="s">
        <v>92</v>
      </c>
      <c r="F756" s="10" t="s">
        <v>136</v>
      </c>
      <c r="G756" s="11" t="n">
        <v>51</v>
      </c>
      <c r="H756" s="11"/>
      <c r="I756" s="11"/>
      <c r="J756" s="11"/>
      <c r="K756" s="10" t="str">
        <f aca="false">IF(ISNUMBER(J756),IF(J756&lt;10,"ультра-НЧ",IF(J756&lt;100,"НЧ",IF(J756&lt;=1000,"СЧ","ВЧ"))),IF(ISNUMBER(I756),IF(I756&lt;10,"ультра-НЧ",IF(I756&lt;100,"НЧ",IF(I756&lt;=1000,"СЧ","ВЧ"))),"нет данных"))</f>
        <v>нет данных</v>
      </c>
      <c r="L756" s="12" t="str">
        <f aca="false">IF(AND(ISNUMBER(G756),G756&gt;0,ISNUMBER(I756)),I756/G756,"")</f>
        <v/>
      </c>
      <c r="M756" s="10" t="s">
        <v>94</v>
      </c>
      <c r="N756" s="10" t="s">
        <v>1143</v>
      </c>
      <c r="O756" s="10"/>
    </row>
    <row r="757" customFormat="false" ht="15" hidden="false" customHeight="false" outlineLevel="0" collapsed="false">
      <c r="A757" s="10" t="n">
        <v>756</v>
      </c>
      <c r="B757" s="10" t="s">
        <v>1144</v>
      </c>
      <c r="C757" s="10" t="s">
        <v>1105</v>
      </c>
      <c r="D757" s="10" t="s">
        <v>1106</v>
      </c>
      <c r="E757" s="10" t="s">
        <v>92</v>
      </c>
      <c r="F757" s="10" t="s">
        <v>136</v>
      </c>
      <c r="G757" s="11" t="n">
        <v>45</v>
      </c>
      <c r="H757" s="11"/>
      <c r="I757" s="11"/>
      <c r="J757" s="11"/>
      <c r="K757" s="10" t="str">
        <f aca="false">IF(ISNUMBER(J757),IF(J757&lt;10,"ультра-НЧ",IF(J757&lt;100,"НЧ",IF(J757&lt;=1000,"СЧ","ВЧ"))),IF(ISNUMBER(I757),IF(I757&lt;10,"ультра-НЧ",IF(I757&lt;100,"НЧ",IF(I757&lt;=1000,"СЧ","ВЧ"))),"нет данных"))</f>
        <v>нет данных</v>
      </c>
      <c r="L757" s="12" t="str">
        <f aca="false">IF(AND(ISNUMBER(G757),G757&gt;0,ISNUMBER(I757)),I757/G757,"")</f>
        <v/>
      </c>
      <c r="M757" s="10" t="s">
        <v>105</v>
      </c>
      <c r="N757" s="10" t="s">
        <v>1144</v>
      </c>
      <c r="O757" s="10" t="s">
        <v>107</v>
      </c>
    </row>
    <row r="758" customFormat="false" ht="15" hidden="false" customHeight="false" outlineLevel="0" collapsed="false">
      <c r="A758" s="10" t="n">
        <v>757</v>
      </c>
      <c r="B758" s="10" t="s">
        <v>1145</v>
      </c>
      <c r="C758" s="10" t="s">
        <v>1105</v>
      </c>
      <c r="D758" s="10" t="s">
        <v>1106</v>
      </c>
      <c r="E758" s="10" t="s">
        <v>92</v>
      </c>
      <c r="F758" s="10" t="s">
        <v>136</v>
      </c>
      <c r="G758" s="11" t="n">
        <v>42</v>
      </c>
      <c r="H758" s="11"/>
      <c r="I758" s="11"/>
      <c r="J758" s="11"/>
      <c r="K758" s="10" t="str">
        <f aca="false">IF(ISNUMBER(J758),IF(J758&lt;10,"ультра-НЧ",IF(J758&lt;100,"НЧ",IF(J758&lt;=1000,"СЧ","ВЧ"))),IF(ISNUMBER(I758),IF(I758&lt;10,"ультра-НЧ",IF(I758&lt;100,"НЧ",IF(I758&lt;=1000,"СЧ","ВЧ"))),"нет данных"))</f>
        <v>нет данных</v>
      </c>
      <c r="L758" s="12" t="str">
        <f aca="false">IF(AND(ISNUMBER(G758),G758&gt;0,ISNUMBER(I758)),I758/G758,"")</f>
        <v/>
      </c>
      <c r="M758" s="10" t="s">
        <v>105</v>
      </c>
      <c r="N758" s="10" t="s">
        <v>1145</v>
      </c>
      <c r="O758" s="10" t="s">
        <v>107</v>
      </c>
    </row>
    <row r="759" customFormat="false" ht="15" hidden="false" customHeight="false" outlineLevel="0" collapsed="false">
      <c r="A759" s="10" t="n">
        <v>758</v>
      </c>
      <c r="B759" s="10" t="s">
        <v>1146</v>
      </c>
      <c r="C759" s="10" t="s">
        <v>1105</v>
      </c>
      <c r="D759" s="10" t="s">
        <v>1106</v>
      </c>
      <c r="E759" s="10" t="s">
        <v>92</v>
      </c>
      <c r="F759" s="10" t="s">
        <v>136</v>
      </c>
      <c r="G759" s="11" t="n">
        <v>40</v>
      </c>
      <c r="H759" s="11"/>
      <c r="I759" s="11"/>
      <c r="J759" s="11"/>
      <c r="K759" s="10" t="str">
        <f aca="false">IF(ISNUMBER(J759),IF(J759&lt;10,"ультра-НЧ",IF(J759&lt;100,"НЧ",IF(J759&lt;=1000,"СЧ","ВЧ"))),IF(ISNUMBER(I759),IF(I759&lt;10,"ультра-НЧ",IF(I759&lt;100,"НЧ",IF(I759&lt;=1000,"СЧ","ВЧ"))),"нет данных"))</f>
        <v>нет данных</v>
      </c>
      <c r="L759" s="12" t="str">
        <f aca="false">IF(AND(ISNUMBER(G759),G759&gt;0,ISNUMBER(I759)),I759/G759,"")</f>
        <v/>
      </c>
      <c r="M759" s="10" t="s">
        <v>94</v>
      </c>
      <c r="N759" s="10" t="s">
        <v>1146</v>
      </c>
      <c r="O759" s="10"/>
    </row>
    <row r="760" customFormat="false" ht="15" hidden="false" customHeight="false" outlineLevel="0" collapsed="false">
      <c r="A760" s="10" t="n">
        <v>759</v>
      </c>
      <c r="B760" s="10" t="s">
        <v>1147</v>
      </c>
      <c r="C760" s="10" t="s">
        <v>1105</v>
      </c>
      <c r="D760" s="10" t="s">
        <v>1106</v>
      </c>
      <c r="E760" s="10" t="s">
        <v>92</v>
      </c>
      <c r="F760" s="10" t="s">
        <v>136</v>
      </c>
      <c r="G760" s="11" t="n">
        <v>38</v>
      </c>
      <c r="H760" s="11"/>
      <c r="I760" s="11"/>
      <c r="J760" s="11"/>
      <c r="K760" s="10" t="str">
        <f aca="false">IF(ISNUMBER(J760),IF(J760&lt;10,"ультра-НЧ",IF(J760&lt;100,"НЧ",IF(J760&lt;=1000,"СЧ","ВЧ"))),IF(ISNUMBER(I760),IF(I760&lt;10,"ультра-НЧ",IF(I760&lt;100,"НЧ",IF(I760&lt;=1000,"СЧ","ВЧ"))),"нет данных"))</f>
        <v>нет данных</v>
      </c>
      <c r="L760" s="12" t="str">
        <f aca="false">IF(AND(ISNUMBER(G760),G760&gt;0,ISNUMBER(I760)),I760/G760,"")</f>
        <v/>
      </c>
      <c r="M760" s="10" t="s">
        <v>105</v>
      </c>
      <c r="N760" s="10" t="s">
        <v>1148</v>
      </c>
      <c r="O760" s="10" t="s">
        <v>107</v>
      </c>
    </row>
    <row r="761" customFormat="false" ht="15" hidden="false" customHeight="false" outlineLevel="0" collapsed="false">
      <c r="A761" s="10" t="n">
        <v>760</v>
      </c>
      <c r="B761" s="10" t="s">
        <v>1149</v>
      </c>
      <c r="C761" s="10" t="s">
        <v>1105</v>
      </c>
      <c r="D761" s="10" t="s">
        <v>1106</v>
      </c>
      <c r="E761" s="10" t="s">
        <v>92</v>
      </c>
      <c r="F761" s="10" t="s">
        <v>136</v>
      </c>
      <c r="G761" s="11" t="n">
        <v>36</v>
      </c>
      <c r="H761" s="11"/>
      <c r="I761" s="11"/>
      <c r="J761" s="11"/>
      <c r="K761" s="10" t="str">
        <f aca="false">IF(ISNUMBER(J761),IF(J761&lt;10,"ультра-НЧ",IF(J761&lt;100,"НЧ",IF(J761&lt;=1000,"СЧ","ВЧ"))),IF(ISNUMBER(I761),IF(I761&lt;10,"ультра-НЧ",IF(I761&lt;100,"НЧ",IF(I761&lt;=1000,"СЧ","ВЧ"))),"нет данных"))</f>
        <v>нет данных</v>
      </c>
      <c r="L761" s="12" t="str">
        <f aca="false">IF(AND(ISNUMBER(G761),G761&gt;0,ISNUMBER(I761)),I761/G761,"")</f>
        <v/>
      </c>
      <c r="M761" s="10" t="s">
        <v>105</v>
      </c>
      <c r="N761" s="10" t="s">
        <v>1149</v>
      </c>
      <c r="O761" s="10" t="s">
        <v>107</v>
      </c>
    </row>
    <row r="762" customFormat="false" ht="15" hidden="false" customHeight="false" outlineLevel="0" collapsed="false">
      <c r="A762" s="10" t="n">
        <v>761</v>
      </c>
      <c r="B762" s="10" t="s">
        <v>1150</v>
      </c>
      <c r="C762" s="10" t="s">
        <v>1105</v>
      </c>
      <c r="D762" s="10" t="s">
        <v>1106</v>
      </c>
      <c r="E762" s="10" t="s">
        <v>92</v>
      </c>
      <c r="F762" s="10" t="s">
        <v>136</v>
      </c>
      <c r="G762" s="11" t="n">
        <v>36</v>
      </c>
      <c r="H762" s="11"/>
      <c r="I762" s="11"/>
      <c r="J762" s="11"/>
      <c r="K762" s="10" t="str">
        <f aca="false">IF(ISNUMBER(J762),IF(J762&lt;10,"ультра-НЧ",IF(J762&lt;100,"НЧ",IF(J762&lt;=1000,"СЧ","ВЧ"))),IF(ISNUMBER(I762),IF(I762&lt;10,"ультра-НЧ",IF(I762&lt;100,"НЧ",IF(I762&lt;=1000,"СЧ","ВЧ"))),"нет данных"))</f>
        <v>нет данных</v>
      </c>
      <c r="L762" s="12" t="str">
        <f aca="false">IF(AND(ISNUMBER(G762),G762&gt;0,ISNUMBER(I762)),I762/G762,"")</f>
        <v/>
      </c>
      <c r="M762" s="10" t="s">
        <v>105</v>
      </c>
      <c r="N762" s="10" t="s">
        <v>1150</v>
      </c>
      <c r="O762" s="10" t="s">
        <v>107</v>
      </c>
    </row>
    <row r="763" customFormat="false" ht="15" hidden="false" customHeight="false" outlineLevel="0" collapsed="false">
      <c r="A763" s="10" t="n">
        <v>762</v>
      </c>
      <c r="B763" s="10" t="s">
        <v>1151</v>
      </c>
      <c r="C763" s="10" t="s">
        <v>1105</v>
      </c>
      <c r="D763" s="10" t="s">
        <v>1106</v>
      </c>
      <c r="E763" s="10" t="s">
        <v>92</v>
      </c>
      <c r="F763" s="10" t="s">
        <v>136</v>
      </c>
      <c r="G763" s="11" t="n">
        <v>33</v>
      </c>
      <c r="H763" s="11"/>
      <c r="I763" s="11"/>
      <c r="J763" s="11"/>
      <c r="K763" s="10" t="str">
        <f aca="false">IF(ISNUMBER(J763),IF(J763&lt;10,"ультра-НЧ",IF(J763&lt;100,"НЧ",IF(J763&lt;=1000,"СЧ","ВЧ"))),IF(ISNUMBER(I763),IF(I763&lt;10,"ультра-НЧ",IF(I763&lt;100,"НЧ",IF(I763&lt;=1000,"СЧ","ВЧ"))),"нет данных"))</f>
        <v>нет данных</v>
      </c>
      <c r="L763" s="12" t="str">
        <f aca="false">IF(AND(ISNUMBER(G763),G763&gt;0,ISNUMBER(I763)),I763/G763,"")</f>
        <v/>
      </c>
      <c r="M763" s="10" t="s">
        <v>105</v>
      </c>
      <c r="N763" s="10" t="s">
        <v>1151</v>
      </c>
      <c r="O763" s="10" t="s">
        <v>107</v>
      </c>
    </row>
    <row r="764" customFormat="false" ht="15" hidden="false" customHeight="false" outlineLevel="0" collapsed="false">
      <c r="A764" s="10" t="n">
        <v>763</v>
      </c>
      <c r="B764" s="10" t="s">
        <v>1152</v>
      </c>
      <c r="C764" s="10" t="s">
        <v>1105</v>
      </c>
      <c r="D764" s="10" t="s">
        <v>1106</v>
      </c>
      <c r="E764" s="10" t="s">
        <v>92</v>
      </c>
      <c r="F764" s="10" t="s">
        <v>136</v>
      </c>
      <c r="G764" s="11" t="n">
        <v>31</v>
      </c>
      <c r="H764" s="11"/>
      <c r="I764" s="11"/>
      <c r="J764" s="11"/>
      <c r="K764" s="10" t="str">
        <f aca="false">IF(ISNUMBER(J764),IF(J764&lt;10,"ультра-НЧ",IF(J764&lt;100,"НЧ",IF(J764&lt;=1000,"СЧ","ВЧ"))),IF(ISNUMBER(I764),IF(I764&lt;10,"ультра-НЧ",IF(I764&lt;100,"НЧ",IF(I764&lt;=1000,"СЧ","ВЧ"))),"нет данных"))</f>
        <v>нет данных</v>
      </c>
      <c r="L764" s="12" t="str">
        <f aca="false">IF(AND(ISNUMBER(G764),G764&gt;0,ISNUMBER(I764)),I764/G764,"")</f>
        <v/>
      </c>
      <c r="M764" s="10" t="s">
        <v>105</v>
      </c>
      <c r="N764" s="10" t="s">
        <v>1153</v>
      </c>
      <c r="O764" s="10" t="s">
        <v>107</v>
      </c>
    </row>
    <row r="765" customFormat="false" ht="15" hidden="false" customHeight="false" outlineLevel="0" collapsed="false">
      <c r="A765" s="10" t="n">
        <v>764</v>
      </c>
      <c r="B765" s="10" t="s">
        <v>1154</v>
      </c>
      <c r="C765" s="10" t="s">
        <v>1105</v>
      </c>
      <c r="D765" s="10" t="s">
        <v>1106</v>
      </c>
      <c r="E765" s="10" t="s">
        <v>92</v>
      </c>
      <c r="F765" s="10" t="s">
        <v>136</v>
      </c>
      <c r="G765" s="11" t="n">
        <v>25</v>
      </c>
      <c r="H765" s="11"/>
      <c r="I765" s="11"/>
      <c r="J765" s="11"/>
      <c r="K765" s="10" t="str">
        <f aca="false">IF(ISNUMBER(J765),IF(J765&lt;10,"ультра-НЧ",IF(J765&lt;100,"НЧ",IF(J765&lt;=1000,"СЧ","ВЧ"))),IF(ISNUMBER(I765),IF(I765&lt;10,"ультра-НЧ",IF(I765&lt;100,"НЧ",IF(I765&lt;=1000,"СЧ","ВЧ"))),"нет данных"))</f>
        <v>нет данных</v>
      </c>
      <c r="L765" s="12" t="str">
        <f aca="false">IF(AND(ISNUMBER(G765),G765&gt;0,ISNUMBER(I765)),I765/G765,"")</f>
        <v/>
      </c>
      <c r="M765" s="10" t="s">
        <v>105</v>
      </c>
      <c r="N765" s="10" t="s">
        <v>1154</v>
      </c>
      <c r="O765" s="10" t="s">
        <v>107</v>
      </c>
    </row>
    <row r="766" customFormat="false" ht="15" hidden="false" customHeight="false" outlineLevel="0" collapsed="false">
      <c r="A766" s="10" t="n">
        <v>765</v>
      </c>
      <c r="B766" s="10" t="s">
        <v>1155</v>
      </c>
      <c r="C766" s="10" t="s">
        <v>1105</v>
      </c>
      <c r="D766" s="10" t="s">
        <v>1106</v>
      </c>
      <c r="E766" s="10" t="s">
        <v>92</v>
      </c>
      <c r="F766" s="10" t="s">
        <v>136</v>
      </c>
      <c r="G766" s="11" t="n">
        <v>24</v>
      </c>
      <c r="H766" s="11"/>
      <c r="I766" s="11"/>
      <c r="J766" s="11"/>
      <c r="K766" s="10" t="str">
        <f aca="false">IF(ISNUMBER(J766),IF(J766&lt;10,"ультра-НЧ",IF(J766&lt;100,"НЧ",IF(J766&lt;=1000,"СЧ","ВЧ"))),IF(ISNUMBER(I766),IF(I766&lt;10,"ультра-НЧ",IF(I766&lt;100,"НЧ",IF(I766&lt;=1000,"СЧ","ВЧ"))),"нет данных"))</f>
        <v>нет данных</v>
      </c>
      <c r="L766" s="12" t="str">
        <f aca="false">IF(AND(ISNUMBER(G766),G766&gt;0,ISNUMBER(I766)),I766/G766,"")</f>
        <v/>
      </c>
      <c r="M766" s="10" t="s">
        <v>105</v>
      </c>
      <c r="N766" s="10" t="s">
        <v>1155</v>
      </c>
      <c r="O766" s="10" t="s">
        <v>107</v>
      </c>
    </row>
    <row r="767" customFormat="false" ht="15" hidden="false" customHeight="false" outlineLevel="0" collapsed="false">
      <c r="A767" s="10" t="n">
        <v>766</v>
      </c>
      <c r="B767" s="10" t="s">
        <v>1156</v>
      </c>
      <c r="C767" s="10" t="s">
        <v>1105</v>
      </c>
      <c r="D767" s="10" t="s">
        <v>1106</v>
      </c>
      <c r="E767" s="10" t="s">
        <v>92</v>
      </c>
      <c r="F767" s="10" t="s">
        <v>136</v>
      </c>
      <c r="G767" s="11" t="n">
        <v>24</v>
      </c>
      <c r="H767" s="11"/>
      <c r="I767" s="11"/>
      <c r="J767" s="11"/>
      <c r="K767" s="10" t="str">
        <f aca="false">IF(ISNUMBER(J767),IF(J767&lt;10,"ультра-НЧ",IF(J767&lt;100,"НЧ",IF(J767&lt;=1000,"СЧ","ВЧ"))),IF(ISNUMBER(I767),IF(I767&lt;10,"ультра-НЧ",IF(I767&lt;100,"НЧ",IF(I767&lt;=1000,"СЧ","ВЧ"))),"нет данных"))</f>
        <v>нет данных</v>
      </c>
      <c r="L767" s="12" t="str">
        <f aca="false">IF(AND(ISNUMBER(G767),G767&gt;0,ISNUMBER(I767)),I767/G767,"")</f>
        <v/>
      </c>
      <c r="M767" s="10" t="s">
        <v>105</v>
      </c>
      <c r="N767" s="10" t="s">
        <v>1156</v>
      </c>
      <c r="O767" s="10" t="s">
        <v>107</v>
      </c>
    </row>
    <row r="768" customFormat="false" ht="15" hidden="false" customHeight="false" outlineLevel="0" collapsed="false">
      <c r="A768" s="10" t="n">
        <v>767</v>
      </c>
      <c r="B768" s="10" t="s">
        <v>1157</v>
      </c>
      <c r="C768" s="10" t="s">
        <v>1105</v>
      </c>
      <c r="D768" s="10" t="s">
        <v>1106</v>
      </c>
      <c r="E768" s="10" t="s">
        <v>92</v>
      </c>
      <c r="F768" s="10" t="s">
        <v>136</v>
      </c>
      <c r="G768" s="11" t="n">
        <v>22</v>
      </c>
      <c r="H768" s="11"/>
      <c r="I768" s="11"/>
      <c r="J768" s="11"/>
      <c r="K768" s="10" t="str">
        <f aca="false">IF(ISNUMBER(J768),IF(J768&lt;10,"ультра-НЧ",IF(J768&lt;100,"НЧ",IF(J768&lt;=1000,"СЧ","ВЧ"))),IF(ISNUMBER(I768),IF(I768&lt;10,"ультра-НЧ",IF(I768&lt;100,"НЧ",IF(I768&lt;=1000,"СЧ","ВЧ"))),"нет данных"))</f>
        <v>нет данных</v>
      </c>
      <c r="L768" s="12" t="str">
        <f aca="false">IF(AND(ISNUMBER(G768),G768&gt;0,ISNUMBER(I768)),I768/G768,"")</f>
        <v/>
      </c>
      <c r="M768" s="10" t="s">
        <v>105</v>
      </c>
      <c r="N768" s="10" t="s">
        <v>1157</v>
      </c>
      <c r="O768" s="10" t="s">
        <v>107</v>
      </c>
    </row>
    <row r="769" customFormat="false" ht="15" hidden="false" customHeight="false" outlineLevel="0" collapsed="false">
      <c r="A769" s="10" t="n">
        <v>768</v>
      </c>
      <c r="B769" s="10" t="s">
        <v>1158</v>
      </c>
      <c r="C769" s="10" t="s">
        <v>1105</v>
      </c>
      <c r="D769" s="10" t="s">
        <v>1106</v>
      </c>
      <c r="E769" s="10" t="s">
        <v>92</v>
      </c>
      <c r="F769" s="10" t="s">
        <v>136</v>
      </c>
      <c r="G769" s="11" t="n">
        <v>21</v>
      </c>
      <c r="H769" s="11"/>
      <c r="I769" s="11"/>
      <c r="J769" s="11"/>
      <c r="K769" s="10" t="str">
        <f aca="false">IF(ISNUMBER(J769),IF(J769&lt;10,"ультра-НЧ",IF(J769&lt;100,"НЧ",IF(J769&lt;=1000,"СЧ","ВЧ"))),IF(ISNUMBER(I769),IF(I769&lt;10,"ультра-НЧ",IF(I769&lt;100,"НЧ",IF(I769&lt;=1000,"СЧ","ВЧ"))),"нет данных"))</f>
        <v>нет данных</v>
      </c>
      <c r="L769" s="12" t="str">
        <f aca="false">IF(AND(ISNUMBER(G769),G769&gt;0,ISNUMBER(I769)),I769/G769,"")</f>
        <v/>
      </c>
      <c r="M769" s="10" t="s">
        <v>105</v>
      </c>
      <c r="N769" s="10" t="s">
        <v>1159</v>
      </c>
      <c r="O769" s="10" t="s">
        <v>107</v>
      </c>
    </row>
    <row r="770" customFormat="false" ht="15" hidden="false" customHeight="false" outlineLevel="0" collapsed="false">
      <c r="A770" s="10" t="n">
        <v>769</v>
      </c>
      <c r="B770" s="10" t="s">
        <v>1160</v>
      </c>
      <c r="C770" s="10" t="s">
        <v>1105</v>
      </c>
      <c r="D770" s="10" t="s">
        <v>1106</v>
      </c>
      <c r="E770" s="10" t="s">
        <v>92</v>
      </c>
      <c r="F770" s="10" t="s">
        <v>136</v>
      </c>
      <c r="G770" s="11" t="n">
        <v>20</v>
      </c>
      <c r="H770" s="11"/>
      <c r="I770" s="11"/>
      <c r="J770" s="11"/>
      <c r="K770" s="10" t="str">
        <f aca="false">IF(ISNUMBER(J770),IF(J770&lt;10,"ультра-НЧ",IF(J770&lt;100,"НЧ",IF(J770&lt;=1000,"СЧ","ВЧ"))),IF(ISNUMBER(I770),IF(I770&lt;10,"ультра-НЧ",IF(I770&lt;100,"НЧ",IF(I770&lt;=1000,"СЧ","ВЧ"))),"нет данных"))</f>
        <v>нет данных</v>
      </c>
      <c r="L770" s="12" t="str">
        <f aca="false">IF(AND(ISNUMBER(G770),G770&gt;0,ISNUMBER(I770)),I770/G770,"")</f>
        <v/>
      </c>
      <c r="M770" s="10" t="s">
        <v>105</v>
      </c>
      <c r="N770" s="10" t="s">
        <v>1160</v>
      </c>
      <c r="O770" s="10" t="s">
        <v>107</v>
      </c>
    </row>
    <row r="771" customFormat="false" ht="15" hidden="false" customHeight="false" outlineLevel="0" collapsed="false">
      <c r="A771" s="10" t="n">
        <v>770</v>
      </c>
      <c r="B771" s="10" t="s">
        <v>1161</v>
      </c>
      <c r="C771" s="10" t="s">
        <v>1105</v>
      </c>
      <c r="D771" s="10" t="s">
        <v>1106</v>
      </c>
      <c r="E771" s="10" t="s">
        <v>92</v>
      </c>
      <c r="F771" s="10" t="s">
        <v>136</v>
      </c>
      <c r="G771" s="11" t="n">
        <v>79</v>
      </c>
      <c r="H771" s="11"/>
      <c r="I771" s="11" t="n">
        <v>10</v>
      </c>
      <c r="J771" s="11"/>
      <c r="K771" s="10" t="str">
        <f aca="false">IF(ISNUMBER(J771),IF(J771&lt;10,"ультра-НЧ",IF(J771&lt;100,"НЧ",IF(J771&lt;=1000,"СЧ","ВЧ"))),IF(ISNUMBER(I771),IF(I771&lt;10,"ультра-НЧ",IF(I771&lt;100,"НЧ",IF(I771&lt;=1000,"СЧ","ВЧ"))),"нет данных"))</f>
        <v>НЧ</v>
      </c>
      <c r="L771" s="12" t="n">
        <f aca="false">IF(AND(ISNUMBER(G771),G771&gt;0,ISNUMBER(I771)),I771/G771,"")</f>
        <v>0.126582278481013</v>
      </c>
      <c r="M771" s="10" t="s">
        <v>105</v>
      </c>
      <c r="N771" s="10" t="s">
        <v>1161</v>
      </c>
      <c r="O771" s="10" t="s">
        <v>107</v>
      </c>
    </row>
    <row r="772" customFormat="false" ht="15" hidden="false" customHeight="false" outlineLevel="0" collapsed="false">
      <c r="A772" s="10" t="n">
        <v>771</v>
      </c>
      <c r="B772" s="10" t="s">
        <v>1162</v>
      </c>
      <c r="C772" s="10" t="s">
        <v>1105</v>
      </c>
      <c r="D772" s="10" t="s">
        <v>1106</v>
      </c>
      <c r="E772" s="10" t="s">
        <v>92</v>
      </c>
      <c r="F772" s="10" t="s">
        <v>136</v>
      </c>
      <c r="G772" s="11" t="n">
        <v>324</v>
      </c>
      <c r="H772" s="11"/>
      <c r="I772" s="11" t="n">
        <v>4</v>
      </c>
      <c r="J772" s="11"/>
      <c r="K772" s="10" t="str">
        <f aca="false">IF(ISNUMBER(J772),IF(J772&lt;10,"ультра-НЧ",IF(J772&lt;100,"НЧ",IF(J772&lt;=1000,"СЧ","ВЧ"))),IF(ISNUMBER(I772),IF(I772&lt;10,"ультра-НЧ",IF(I772&lt;100,"НЧ",IF(I772&lt;=1000,"СЧ","ВЧ"))),"нет данных"))</f>
        <v>ультра-НЧ</v>
      </c>
      <c r="L772" s="12" t="n">
        <f aca="false">IF(AND(ISNUMBER(G772),G772&gt;0,ISNUMBER(I772)),I772/G772,"")</f>
        <v>0.0123456790123457</v>
      </c>
      <c r="M772" s="10" t="s">
        <v>105</v>
      </c>
      <c r="N772" s="10" t="s">
        <v>1163</v>
      </c>
      <c r="O772" s="10" t="s">
        <v>107</v>
      </c>
    </row>
    <row r="773" customFormat="false" ht="15" hidden="false" customHeight="false" outlineLevel="0" collapsed="false">
      <c r="A773" s="10" t="n">
        <v>772</v>
      </c>
      <c r="B773" s="10" t="s">
        <v>1164</v>
      </c>
      <c r="C773" s="10" t="s">
        <v>1105</v>
      </c>
      <c r="D773" s="10" t="s">
        <v>1106</v>
      </c>
      <c r="E773" s="10" t="s">
        <v>92</v>
      </c>
      <c r="F773" s="10" t="s">
        <v>136</v>
      </c>
      <c r="G773" s="11" t="n">
        <v>115</v>
      </c>
      <c r="H773" s="11"/>
      <c r="I773" s="11" t="n">
        <v>4</v>
      </c>
      <c r="J773" s="11"/>
      <c r="K773" s="10" t="str">
        <f aca="false">IF(ISNUMBER(J773),IF(J773&lt;10,"ультра-НЧ",IF(J773&lt;100,"НЧ",IF(J773&lt;=1000,"СЧ","ВЧ"))),IF(ISNUMBER(I773),IF(I773&lt;10,"ультра-НЧ",IF(I773&lt;100,"НЧ",IF(I773&lt;=1000,"СЧ","ВЧ"))),"нет данных"))</f>
        <v>ультра-НЧ</v>
      </c>
      <c r="L773" s="12" t="n">
        <f aca="false">IF(AND(ISNUMBER(G773),G773&gt;0,ISNUMBER(I773)),I773/G773,"")</f>
        <v>0.0347826086956522</v>
      </c>
      <c r="M773" s="10" t="s">
        <v>105</v>
      </c>
      <c r="N773" s="10" t="s">
        <v>1165</v>
      </c>
      <c r="O773" s="10" t="s">
        <v>107</v>
      </c>
    </row>
    <row r="774" customFormat="false" ht="15" hidden="false" customHeight="false" outlineLevel="0" collapsed="false">
      <c r="A774" s="10" t="n">
        <v>773</v>
      </c>
      <c r="B774" s="10" t="s">
        <v>1166</v>
      </c>
      <c r="C774" s="10" t="s">
        <v>1105</v>
      </c>
      <c r="D774" s="10" t="s">
        <v>1106</v>
      </c>
      <c r="E774" s="10" t="s">
        <v>92</v>
      </c>
      <c r="F774" s="10" t="s">
        <v>123</v>
      </c>
      <c r="G774" s="11" t="n">
        <v>592</v>
      </c>
      <c r="H774" s="11"/>
      <c r="I774" s="11"/>
      <c r="J774" s="11" t="n">
        <v>1</v>
      </c>
      <c r="K774" s="10" t="str">
        <f aca="false">IF(ISNUMBER(J774),IF(J774&lt;10,"ультра-НЧ",IF(J774&lt;100,"НЧ",IF(J774&lt;=1000,"СЧ","ВЧ"))),IF(ISNUMBER(I774),IF(I774&lt;10,"ультра-НЧ",IF(I774&lt;100,"НЧ",IF(I774&lt;=1000,"СЧ","ВЧ"))),"нет данных"))</f>
        <v>ультра-НЧ</v>
      </c>
      <c r="L774" s="12" t="str">
        <f aca="false">IF(AND(ISNUMBER(G774),G774&gt;0,ISNUMBER(I774)),I774/G774,"")</f>
        <v/>
      </c>
      <c r="M774" s="10" t="s">
        <v>105</v>
      </c>
      <c r="N774" s="10" t="s">
        <v>1166</v>
      </c>
      <c r="O774" s="10" t="s">
        <v>107</v>
      </c>
    </row>
    <row r="775" customFormat="false" ht="15" hidden="false" customHeight="false" outlineLevel="0" collapsed="false">
      <c r="A775" s="10" t="n">
        <v>774</v>
      </c>
      <c r="B775" s="10" t="s">
        <v>1167</v>
      </c>
      <c r="C775" s="10" t="s">
        <v>1105</v>
      </c>
      <c r="D775" s="10" t="s">
        <v>1106</v>
      </c>
      <c r="E775" s="10" t="s">
        <v>92</v>
      </c>
      <c r="F775" s="10" t="s">
        <v>136</v>
      </c>
      <c r="G775" s="11" t="n">
        <v>29</v>
      </c>
      <c r="H775" s="11"/>
      <c r="I775" s="11" t="n">
        <v>1</v>
      </c>
      <c r="J775" s="11"/>
      <c r="K775" s="10" t="str">
        <f aca="false">IF(ISNUMBER(J775),IF(J775&lt;10,"ультра-НЧ",IF(J775&lt;100,"НЧ",IF(J775&lt;=1000,"СЧ","ВЧ"))),IF(ISNUMBER(I775),IF(I775&lt;10,"ультра-НЧ",IF(I775&lt;100,"НЧ",IF(I775&lt;=1000,"СЧ","ВЧ"))),"нет данных"))</f>
        <v>ультра-НЧ</v>
      </c>
      <c r="L775" s="12" t="n">
        <f aca="false">IF(AND(ISNUMBER(G775),G775&gt;0,ISNUMBER(I775)),I775/G775,"")</f>
        <v>0.0344827586206897</v>
      </c>
      <c r="M775" s="10" t="s">
        <v>105</v>
      </c>
      <c r="N775" s="10" t="s">
        <v>1167</v>
      </c>
      <c r="O775" s="10" t="s">
        <v>107</v>
      </c>
    </row>
    <row r="776" customFormat="false" ht="15" hidden="false" customHeight="false" outlineLevel="0" collapsed="false">
      <c r="A776" s="10" t="n">
        <v>775</v>
      </c>
      <c r="B776" s="10" t="s">
        <v>1168</v>
      </c>
      <c r="C776" s="10" t="s">
        <v>1169</v>
      </c>
      <c r="D776" s="10" t="s">
        <v>1170</v>
      </c>
      <c r="E776" s="10" t="s">
        <v>1171</v>
      </c>
      <c r="F776" s="10" t="s">
        <v>93</v>
      </c>
      <c r="G776" s="11" t="n">
        <v>69</v>
      </c>
      <c r="H776" s="11" t="n">
        <v>0</v>
      </c>
      <c r="I776" s="11" t="n">
        <v>0</v>
      </c>
      <c r="J776" s="11" t="n">
        <v>0</v>
      </c>
      <c r="K776" s="10" t="str">
        <f aca="false">IF(ISNUMBER(J776),IF(J776&lt;10,"ультра-НЧ",IF(J776&lt;100,"НЧ",IF(J776&lt;=1000,"СЧ","ВЧ"))),IF(ISNUMBER(I776),IF(I776&lt;10,"ультра-НЧ",IF(I776&lt;100,"НЧ",IF(I776&lt;=1000,"СЧ","ВЧ"))),"нет данных"))</f>
        <v>ультра-НЧ</v>
      </c>
      <c r="L776" s="12" t="n">
        <f aca="false">IF(AND(ISNUMBER(G776),G776&gt;0,ISNUMBER(I776)),I776/G776,"")</f>
        <v>0</v>
      </c>
      <c r="M776" s="10" t="s">
        <v>1172</v>
      </c>
      <c r="N776" s="10" t="s">
        <v>1168</v>
      </c>
      <c r="O776" s="10" t="s">
        <v>1173</v>
      </c>
    </row>
    <row r="777" customFormat="false" ht="15" hidden="false" customHeight="false" outlineLevel="0" collapsed="false">
      <c r="A777" s="10" t="n">
        <v>776</v>
      </c>
      <c r="B777" s="10" t="s">
        <v>1174</v>
      </c>
      <c r="C777" s="10" t="s">
        <v>1169</v>
      </c>
      <c r="D777" s="10" t="s">
        <v>1170</v>
      </c>
      <c r="E777" s="10" t="s">
        <v>1171</v>
      </c>
      <c r="F777" s="10" t="s">
        <v>93</v>
      </c>
      <c r="G777" s="11" t="n">
        <v>10</v>
      </c>
      <c r="H777" s="11" t="n">
        <v>0</v>
      </c>
      <c r="I777" s="11" t="n">
        <v>0</v>
      </c>
      <c r="J777" s="11" t="n">
        <v>0</v>
      </c>
      <c r="K777" s="10" t="str">
        <f aca="false">IF(ISNUMBER(J777),IF(J777&lt;10,"ультра-НЧ",IF(J777&lt;100,"НЧ",IF(J777&lt;=1000,"СЧ","ВЧ"))),IF(ISNUMBER(I777),IF(I777&lt;10,"ультра-НЧ",IF(I777&lt;100,"НЧ",IF(I777&lt;=1000,"СЧ","ВЧ"))),"нет данных"))</f>
        <v>ультра-НЧ</v>
      </c>
      <c r="L777" s="12" t="n">
        <f aca="false">IF(AND(ISNUMBER(G777),G777&gt;0,ISNUMBER(I777)),I777/G777,"")</f>
        <v>0</v>
      </c>
      <c r="M777" s="10" t="s">
        <v>1172</v>
      </c>
      <c r="N777" s="10" t="s">
        <v>1174</v>
      </c>
      <c r="O777" s="10" t="s">
        <v>1173</v>
      </c>
    </row>
    <row r="778" customFormat="false" ht="15" hidden="false" customHeight="false" outlineLevel="0" collapsed="false">
      <c r="A778" s="10" t="n">
        <v>777</v>
      </c>
      <c r="B778" s="10" t="s">
        <v>1175</v>
      </c>
      <c r="C778" s="10" t="s">
        <v>1169</v>
      </c>
      <c r="D778" s="10" t="s">
        <v>1170</v>
      </c>
      <c r="E778" s="10" t="s">
        <v>1171</v>
      </c>
      <c r="F778" s="10" t="s">
        <v>93</v>
      </c>
      <c r="G778" s="11" t="n">
        <v>155</v>
      </c>
      <c r="H778" s="11" t="n">
        <v>2</v>
      </c>
      <c r="I778" s="11" t="n">
        <v>7</v>
      </c>
      <c r="J778" s="11" t="n">
        <v>0</v>
      </c>
      <c r="K778" s="10" t="str">
        <f aca="false">IF(ISNUMBER(J778),IF(J778&lt;10,"ультра-НЧ",IF(J778&lt;100,"НЧ",IF(J778&lt;=1000,"СЧ","ВЧ"))),IF(ISNUMBER(I778),IF(I778&lt;10,"ультра-НЧ",IF(I778&lt;100,"НЧ",IF(I778&lt;=1000,"СЧ","ВЧ"))),"нет данных"))</f>
        <v>ультра-НЧ</v>
      </c>
      <c r="L778" s="12" t="n">
        <f aca="false">IF(AND(ISNUMBER(G778),G778&gt;0,ISNUMBER(I778)),I778/G778,"")</f>
        <v>0.0451612903225806</v>
      </c>
      <c r="M778" s="10" t="s">
        <v>1172</v>
      </c>
      <c r="N778" s="10" t="s">
        <v>1176</v>
      </c>
      <c r="O778" s="10" t="s">
        <v>1173</v>
      </c>
    </row>
    <row r="779" customFormat="false" ht="15" hidden="false" customHeight="false" outlineLevel="0" collapsed="false">
      <c r="A779" s="10" t="n">
        <v>778</v>
      </c>
      <c r="B779" s="10" t="s">
        <v>1177</v>
      </c>
      <c r="C779" s="10" t="s">
        <v>1169</v>
      </c>
      <c r="D779" s="10" t="s">
        <v>1170</v>
      </c>
      <c r="E779" s="10" t="s">
        <v>1171</v>
      </c>
      <c r="F779" s="10" t="s">
        <v>93</v>
      </c>
      <c r="G779" s="11" t="n">
        <v>101</v>
      </c>
      <c r="H779" s="11" t="n">
        <v>0</v>
      </c>
      <c r="I779" s="11" t="n">
        <v>4</v>
      </c>
      <c r="J779" s="11" t="n">
        <v>0</v>
      </c>
      <c r="K779" s="10" t="str">
        <f aca="false">IF(ISNUMBER(J779),IF(J779&lt;10,"ультра-НЧ",IF(J779&lt;100,"НЧ",IF(J779&lt;=1000,"СЧ","ВЧ"))),IF(ISNUMBER(I779),IF(I779&lt;10,"ультра-НЧ",IF(I779&lt;100,"НЧ",IF(I779&lt;=1000,"СЧ","ВЧ"))),"нет данных"))</f>
        <v>ультра-НЧ</v>
      </c>
      <c r="L779" s="12" t="n">
        <f aca="false">IF(AND(ISNUMBER(G779),G779&gt;0,ISNUMBER(I779)),I779/G779,"")</f>
        <v>0.0396039603960396</v>
      </c>
      <c r="M779" s="10" t="s">
        <v>1172</v>
      </c>
      <c r="N779" s="10" t="s">
        <v>1177</v>
      </c>
      <c r="O779" s="10" t="s">
        <v>1173</v>
      </c>
    </row>
    <row r="780" customFormat="false" ht="15" hidden="false" customHeight="false" outlineLevel="0" collapsed="false">
      <c r="A780" s="10" t="n">
        <v>779</v>
      </c>
      <c r="B780" s="10" t="s">
        <v>1178</v>
      </c>
      <c r="C780" s="10" t="s">
        <v>1169</v>
      </c>
      <c r="D780" s="10" t="s">
        <v>1170</v>
      </c>
      <c r="E780" s="10" t="s">
        <v>1171</v>
      </c>
      <c r="F780" s="10" t="s">
        <v>93</v>
      </c>
      <c r="G780" s="11" t="n">
        <v>120</v>
      </c>
      <c r="H780" s="11" t="n">
        <v>4</v>
      </c>
      <c r="I780" s="11" t="n">
        <v>1</v>
      </c>
      <c r="J780" s="11" t="n">
        <v>0</v>
      </c>
      <c r="K780" s="10" t="str">
        <f aca="false">IF(ISNUMBER(J780),IF(J780&lt;10,"ультра-НЧ",IF(J780&lt;100,"НЧ",IF(J780&lt;=1000,"СЧ","ВЧ"))),IF(ISNUMBER(I780),IF(I780&lt;10,"ультра-НЧ",IF(I780&lt;100,"НЧ",IF(I780&lt;=1000,"СЧ","ВЧ"))),"нет данных"))</f>
        <v>ультра-НЧ</v>
      </c>
      <c r="L780" s="12" t="n">
        <f aca="false">IF(AND(ISNUMBER(G780),G780&gt;0,ISNUMBER(I780)),I780/G780,"")</f>
        <v>0.00833333333333333</v>
      </c>
      <c r="M780" s="10" t="s">
        <v>1172</v>
      </c>
      <c r="N780" s="10" t="s">
        <v>1178</v>
      </c>
      <c r="O780" s="10" t="s">
        <v>1173</v>
      </c>
    </row>
    <row r="781" customFormat="false" ht="15" hidden="false" customHeight="false" outlineLevel="0" collapsed="false">
      <c r="A781" s="10" t="n">
        <v>780</v>
      </c>
      <c r="B781" s="10" t="s">
        <v>1179</v>
      </c>
      <c r="C781" s="10" t="s">
        <v>1169</v>
      </c>
      <c r="D781" s="10" t="s">
        <v>1170</v>
      </c>
      <c r="E781" s="10" t="s">
        <v>1171</v>
      </c>
      <c r="F781" s="10" t="s">
        <v>93</v>
      </c>
      <c r="G781" s="11"/>
      <c r="H781" s="11" t="n">
        <v>0</v>
      </c>
      <c r="I781" s="11" t="n">
        <v>0</v>
      </c>
      <c r="J781" s="11" t="n">
        <v>0</v>
      </c>
      <c r="K781" s="10" t="str">
        <f aca="false">IF(ISNUMBER(J781),IF(J781&lt;10,"ультра-НЧ",IF(J781&lt;100,"НЧ",IF(J781&lt;=1000,"СЧ","ВЧ"))),IF(ISNUMBER(I781),IF(I781&lt;10,"ультра-НЧ",IF(I781&lt;100,"НЧ",IF(I781&lt;=1000,"СЧ","ВЧ"))),"нет данных"))</f>
        <v>ультра-НЧ</v>
      </c>
      <c r="L781" s="12" t="str">
        <f aca="false">IF(AND(ISNUMBER(G781),G781&gt;0,ISNUMBER(I781)),I781/G781,"")</f>
        <v/>
      </c>
      <c r="M781" s="10" t="s">
        <v>1172</v>
      </c>
      <c r="N781" s="10" t="s">
        <v>1179</v>
      </c>
      <c r="O781" s="10" t="s">
        <v>1173</v>
      </c>
    </row>
    <row r="782" customFormat="false" ht="15" hidden="false" customHeight="false" outlineLevel="0" collapsed="false">
      <c r="A782" s="10" t="n">
        <v>781</v>
      </c>
      <c r="B782" s="10" t="s">
        <v>1180</v>
      </c>
      <c r="C782" s="10" t="s">
        <v>1169</v>
      </c>
      <c r="D782" s="10" t="s">
        <v>1170</v>
      </c>
      <c r="E782" s="10" t="s">
        <v>1171</v>
      </c>
      <c r="F782" s="10" t="s">
        <v>123</v>
      </c>
      <c r="G782" s="11" t="n">
        <v>940</v>
      </c>
      <c r="H782" s="11"/>
      <c r="I782" s="11"/>
      <c r="J782" s="11" t="n">
        <v>0</v>
      </c>
      <c r="K782" s="10" t="str">
        <f aca="false">IF(ISNUMBER(J782),IF(J782&lt;10,"ультра-НЧ",IF(J782&lt;100,"НЧ",IF(J782&lt;=1000,"СЧ","ВЧ"))),IF(ISNUMBER(I782),IF(I782&lt;10,"ультра-НЧ",IF(I782&lt;100,"НЧ",IF(I782&lt;=1000,"СЧ","ВЧ"))),"нет данных"))</f>
        <v>ультра-НЧ</v>
      </c>
      <c r="L782" s="12" t="str">
        <f aca="false">IF(AND(ISNUMBER(G782),G782&gt;0,ISNUMBER(I782)),I782/G782,"")</f>
        <v/>
      </c>
      <c r="M782" s="10" t="s">
        <v>1172</v>
      </c>
      <c r="N782" s="10" t="s">
        <v>1180</v>
      </c>
      <c r="O782" s="10" t="s">
        <v>1173</v>
      </c>
    </row>
    <row r="783" customFormat="false" ht="15" hidden="false" customHeight="false" outlineLevel="0" collapsed="false">
      <c r="A783" s="10" t="n">
        <v>782</v>
      </c>
      <c r="B783" s="10" t="s">
        <v>1181</v>
      </c>
      <c r="C783" s="10" t="s">
        <v>1169</v>
      </c>
      <c r="D783" s="10" t="s">
        <v>1170</v>
      </c>
      <c r="E783" s="10" t="s">
        <v>1171</v>
      </c>
      <c r="F783" s="10" t="s">
        <v>136</v>
      </c>
      <c r="G783" s="11" t="n">
        <v>117</v>
      </c>
      <c r="H783" s="11"/>
      <c r="I783" s="11"/>
      <c r="J783" s="11"/>
      <c r="K783" s="10" t="str">
        <f aca="false">IF(ISNUMBER(J783),IF(J783&lt;10,"ультра-НЧ",IF(J783&lt;100,"НЧ",IF(J783&lt;=1000,"СЧ","ВЧ"))),IF(ISNUMBER(I783),IF(I783&lt;10,"ультра-НЧ",IF(I783&lt;100,"НЧ",IF(I783&lt;=1000,"СЧ","ВЧ"))),"нет данных"))</f>
        <v>нет данных</v>
      </c>
      <c r="L783" s="12" t="str">
        <f aca="false">IF(AND(ISNUMBER(G783),G783&gt;0,ISNUMBER(I783)),I783/G783,"")</f>
        <v/>
      </c>
      <c r="M783" s="10" t="s">
        <v>1172</v>
      </c>
      <c r="N783" s="10" t="s">
        <v>1181</v>
      </c>
      <c r="O783" s="10" t="s">
        <v>1173</v>
      </c>
    </row>
    <row r="784" customFormat="false" ht="15" hidden="false" customHeight="false" outlineLevel="0" collapsed="false">
      <c r="A784" s="10" t="n">
        <v>783</v>
      </c>
      <c r="B784" s="10" t="s">
        <v>1182</v>
      </c>
      <c r="C784" s="10" t="s">
        <v>1169</v>
      </c>
      <c r="D784" s="10" t="s">
        <v>1170</v>
      </c>
      <c r="E784" s="10" t="s">
        <v>1171</v>
      </c>
      <c r="F784" s="10" t="s">
        <v>136</v>
      </c>
      <c r="G784" s="11" t="n">
        <v>63</v>
      </c>
      <c r="H784" s="11"/>
      <c r="I784" s="11"/>
      <c r="J784" s="11"/>
      <c r="K784" s="10" t="str">
        <f aca="false">IF(ISNUMBER(J784),IF(J784&lt;10,"ультра-НЧ",IF(J784&lt;100,"НЧ",IF(J784&lt;=1000,"СЧ","ВЧ"))),IF(ISNUMBER(I784),IF(I784&lt;10,"ультра-НЧ",IF(I784&lt;100,"НЧ",IF(I784&lt;=1000,"СЧ","ВЧ"))),"нет данных"))</f>
        <v>нет данных</v>
      </c>
      <c r="L784" s="12" t="str">
        <f aca="false">IF(AND(ISNUMBER(G784),G784&gt;0,ISNUMBER(I784)),I784/G784,"")</f>
        <v/>
      </c>
      <c r="M784" s="10" t="s">
        <v>1172</v>
      </c>
      <c r="N784" s="10" t="s">
        <v>1182</v>
      </c>
      <c r="O784" s="10" t="s">
        <v>1173</v>
      </c>
    </row>
    <row r="785" customFormat="false" ht="15" hidden="false" customHeight="false" outlineLevel="0" collapsed="false">
      <c r="A785" s="10" t="n">
        <v>784</v>
      </c>
      <c r="B785" s="10" t="s">
        <v>1183</v>
      </c>
      <c r="C785" s="10" t="s">
        <v>1169</v>
      </c>
      <c r="D785" s="10" t="s">
        <v>1170</v>
      </c>
      <c r="E785" s="10" t="s">
        <v>1171</v>
      </c>
      <c r="F785" s="10" t="s">
        <v>136</v>
      </c>
      <c r="G785" s="11" t="n">
        <v>51</v>
      </c>
      <c r="H785" s="11"/>
      <c r="I785" s="11"/>
      <c r="J785" s="11"/>
      <c r="K785" s="10" t="str">
        <f aca="false">IF(ISNUMBER(J785),IF(J785&lt;10,"ультра-НЧ",IF(J785&lt;100,"НЧ",IF(J785&lt;=1000,"СЧ","ВЧ"))),IF(ISNUMBER(I785),IF(I785&lt;10,"ультра-НЧ",IF(I785&lt;100,"НЧ",IF(I785&lt;=1000,"СЧ","ВЧ"))),"нет данных"))</f>
        <v>нет данных</v>
      </c>
      <c r="L785" s="12" t="str">
        <f aca="false">IF(AND(ISNUMBER(G785),G785&gt;0,ISNUMBER(I785)),I785/G785,"")</f>
        <v/>
      </c>
      <c r="M785" s="10" t="s">
        <v>1172</v>
      </c>
      <c r="N785" s="10" t="s">
        <v>1183</v>
      </c>
      <c r="O785" s="10" t="s">
        <v>1173</v>
      </c>
    </row>
    <row r="786" customFormat="false" ht="15" hidden="false" customHeight="false" outlineLevel="0" collapsed="false">
      <c r="A786" s="10" t="n">
        <v>785</v>
      </c>
      <c r="B786" s="10" t="s">
        <v>1184</v>
      </c>
      <c r="C786" s="10" t="s">
        <v>1169</v>
      </c>
      <c r="D786" s="10" t="s">
        <v>1170</v>
      </c>
      <c r="E786" s="10" t="s">
        <v>1171</v>
      </c>
      <c r="F786" s="10" t="s">
        <v>136</v>
      </c>
      <c r="G786" s="11" t="n">
        <v>46</v>
      </c>
      <c r="H786" s="11"/>
      <c r="I786" s="11"/>
      <c r="J786" s="11"/>
      <c r="K786" s="10" t="str">
        <f aca="false">IF(ISNUMBER(J786),IF(J786&lt;10,"ультра-НЧ",IF(J786&lt;100,"НЧ",IF(J786&lt;=1000,"СЧ","ВЧ"))),IF(ISNUMBER(I786),IF(I786&lt;10,"ультра-НЧ",IF(I786&lt;100,"НЧ",IF(I786&lt;=1000,"СЧ","ВЧ"))),"нет данных"))</f>
        <v>нет данных</v>
      </c>
      <c r="L786" s="12" t="str">
        <f aca="false">IF(AND(ISNUMBER(G786),G786&gt;0,ISNUMBER(I786)),I786/G786,"")</f>
        <v/>
      </c>
      <c r="M786" s="10" t="s">
        <v>1172</v>
      </c>
      <c r="N786" s="10" t="s">
        <v>1184</v>
      </c>
      <c r="O786" s="10" t="s">
        <v>1173</v>
      </c>
    </row>
    <row r="787" customFormat="false" ht="15" hidden="false" customHeight="false" outlineLevel="0" collapsed="false">
      <c r="A787" s="10" t="n">
        <v>786</v>
      </c>
      <c r="B787" s="10" t="s">
        <v>1185</v>
      </c>
      <c r="C787" s="10" t="s">
        <v>1169</v>
      </c>
      <c r="D787" s="10" t="s">
        <v>1170</v>
      </c>
      <c r="E787" s="10" t="s">
        <v>1171</v>
      </c>
      <c r="F787" s="10" t="s">
        <v>136</v>
      </c>
      <c r="G787" s="11" t="n">
        <v>39</v>
      </c>
      <c r="H787" s="11"/>
      <c r="I787" s="11"/>
      <c r="J787" s="11"/>
      <c r="K787" s="10" t="str">
        <f aca="false">IF(ISNUMBER(J787),IF(J787&lt;10,"ультра-НЧ",IF(J787&lt;100,"НЧ",IF(J787&lt;=1000,"СЧ","ВЧ"))),IF(ISNUMBER(I787),IF(I787&lt;10,"ультра-НЧ",IF(I787&lt;100,"НЧ",IF(I787&lt;=1000,"СЧ","ВЧ"))),"нет данных"))</f>
        <v>нет данных</v>
      </c>
      <c r="L787" s="12" t="str">
        <f aca="false">IF(AND(ISNUMBER(G787),G787&gt;0,ISNUMBER(I787)),I787/G787,"")</f>
        <v/>
      </c>
      <c r="M787" s="10" t="s">
        <v>1172</v>
      </c>
      <c r="N787" s="10" t="s">
        <v>1185</v>
      </c>
      <c r="O787" s="10" t="s">
        <v>1173</v>
      </c>
    </row>
    <row r="788" customFormat="false" ht="15" hidden="false" customHeight="false" outlineLevel="0" collapsed="false">
      <c r="A788" s="10" t="n">
        <v>787</v>
      </c>
      <c r="B788" s="10" t="s">
        <v>1186</v>
      </c>
      <c r="C788" s="10" t="s">
        <v>1169</v>
      </c>
      <c r="D788" s="10" t="s">
        <v>1170</v>
      </c>
      <c r="E788" s="10" t="s">
        <v>1171</v>
      </c>
      <c r="F788" s="10" t="s">
        <v>136</v>
      </c>
      <c r="G788" s="11" t="n">
        <v>32</v>
      </c>
      <c r="H788" s="11"/>
      <c r="I788" s="11"/>
      <c r="J788" s="11"/>
      <c r="K788" s="10" t="str">
        <f aca="false">IF(ISNUMBER(J788),IF(J788&lt;10,"ультра-НЧ",IF(J788&lt;100,"НЧ",IF(J788&lt;=1000,"СЧ","ВЧ"))),IF(ISNUMBER(I788),IF(I788&lt;10,"ультра-НЧ",IF(I788&lt;100,"НЧ",IF(I788&lt;=1000,"СЧ","ВЧ"))),"нет данных"))</f>
        <v>нет данных</v>
      </c>
      <c r="L788" s="12" t="str">
        <f aca="false">IF(AND(ISNUMBER(G788),G788&gt;0,ISNUMBER(I788)),I788/G788,"")</f>
        <v/>
      </c>
      <c r="M788" s="10" t="s">
        <v>1172</v>
      </c>
      <c r="N788" s="10" t="s">
        <v>1186</v>
      </c>
      <c r="O788" s="10" t="s">
        <v>1173</v>
      </c>
    </row>
    <row r="789" customFormat="false" ht="15" hidden="false" customHeight="false" outlineLevel="0" collapsed="false">
      <c r="A789" s="10" t="n">
        <v>788</v>
      </c>
      <c r="B789" s="10" t="s">
        <v>1187</v>
      </c>
      <c r="C789" s="10" t="s">
        <v>1169</v>
      </c>
      <c r="D789" s="10" t="s">
        <v>1170</v>
      </c>
      <c r="E789" s="10" t="s">
        <v>1171</v>
      </c>
      <c r="F789" s="10" t="s">
        <v>136</v>
      </c>
      <c r="G789" s="11" t="n">
        <v>29</v>
      </c>
      <c r="H789" s="11"/>
      <c r="I789" s="11"/>
      <c r="J789" s="11"/>
      <c r="K789" s="10" t="str">
        <f aca="false">IF(ISNUMBER(J789),IF(J789&lt;10,"ультра-НЧ",IF(J789&lt;100,"НЧ",IF(J789&lt;=1000,"СЧ","ВЧ"))),IF(ISNUMBER(I789),IF(I789&lt;10,"ультра-НЧ",IF(I789&lt;100,"НЧ",IF(I789&lt;=1000,"СЧ","ВЧ"))),"нет данных"))</f>
        <v>нет данных</v>
      </c>
      <c r="L789" s="12" t="str">
        <f aca="false">IF(AND(ISNUMBER(G789),G789&gt;0,ISNUMBER(I789)),I789/G789,"")</f>
        <v/>
      </c>
      <c r="M789" s="10" t="s">
        <v>1172</v>
      </c>
      <c r="N789" s="10" t="s">
        <v>1187</v>
      </c>
      <c r="O789" s="10" t="s">
        <v>1173</v>
      </c>
    </row>
    <row r="790" customFormat="false" ht="15" hidden="false" customHeight="false" outlineLevel="0" collapsed="false">
      <c r="A790" s="10" t="n">
        <v>789</v>
      </c>
      <c r="B790" s="10" t="s">
        <v>1188</v>
      </c>
      <c r="C790" s="10" t="s">
        <v>1169</v>
      </c>
      <c r="D790" s="10" t="s">
        <v>1170</v>
      </c>
      <c r="E790" s="10" t="s">
        <v>1171</v>
      </c>
      <c r="F790" s="10" t="s">
        <v>136</v>
      </c>
      <c r="G790" s="11" t="n">
        <v>23</v>
      </c>
      <c r="H790" s="11"/>
      <c r="I790" s="11"/>
      <c r="J790" s="11"/>
      <c r="K790" s="10" t="str">
        <f aca="false">IF(ISNUMBER(J790),IF(J790&lt;10,"ультра-НЧ",IF(J790&lt;100,"НЧ",IF(J790&lt;=1000,"СЧ","ВЧ"))),IF(ISNUMBER(I790),IF(I790&lt;10,"ультра-НЧ",IF(I790&lt;100,"НЧ",IF(I790&lt;=1000,"СЧ","ВЧ"))),"нет данных"))</f>
        <v>нет данных</v>
      </c>
      <c r="L790" s="12" t="str">
        <f aca="false">IF(AND(ISNUMBER(G790),G790&gt;0,ISNUMBER(I790)),I790/G790,"")</f>
        <v/>
      </c>
      <c r="M790" s="10" t="s">
        <v>1172</v>
      </c>
      <c r="N790" s="10" t="s">
        <v>1188</v>
      </c>
      <c r="O790" s="10" t="s">
        <v>1173</v>
      </c>
    </row>
    <row r="791" customFormat="false" ht="15" hidden="false" customHeight="false" outlineLevel="0" collapsed="false">
      <c r="A791" s="10" t="n">
        <v>790</v>
      </c>
      <c r="B791" s="10" t="s">
        <v>1189</v>
      </c>
      <c r="C791" s="10" t="s">
        <v>1169</v>
      </c>
      <c r="D791" s="10" t="s">
        <v>1170</v>
      </c>
      <c r="E791" s="10" t="s">
        <v>1171</v>
      </c>
      <c r="F791" s="10" t="s">
        <v>136</v>
      </c>
      <c r="G791" s="11" t="n">
        <v>23</v>
      </c>
      <c r="H791" s="11"/>
      <c r="I791" s="11"/>
      <c r="J791" s="11"/>
      <c r="K791" s="10" t="str">
        <f aca="false">IF(ISNUMBER(J791),IF(J791&lt;10,"ультра-НЧ",IF(J791&lt;100,"НЧ",IF(J791&lt;=1000,"СЧ","ВЧ"))),IF(ISNUMBER(I791),IF(I791&lt;10,"ультра-НЧ",IF(I791&lt;100,"НЧ",IF(I791&lt;=1000,"СЧ","ВЧ"))),"нет данных"))</f>
        <v>нет данных</v>
      </c>
      <c r="L791" s="12" t="str">
        <f aca="false">IF(AND(ISNUMBER(G791),G791&gt;0,ISNUMBER(I791)),I791/G791,"")</f>
        <v/>
      </c>
      <c r="M791" s="10" t="s">
        <v>1172</v>
      </c>
      <c r="N791" s="10" t="s">
        <v>1189</v>
      </c>
      <c r="O791" s="10" t="s">
        <v>1173</v>
      </c>
    </row>
    <row r="792" customFormat="false" ht="15" hidden="false" customHeight="false" outlineLevel="0" collapsed="false">
      <c r="A792" s="10" t="n">
        <v>791</v>
      </c>
      <c r="B792" s="10" t="s">
        <v>1190</v>
      </c>
      <c r="C792" s="10" t="s">
        <v>1169</v>
      </c>
      <c r="D792" s="10" t="s">
        <v>1170</v>
      </c>
      <c r="E792" s="10" t="s">
        <v>1171</v>
      </c>
      <c r="F792" s="10" t="s">
        <v>136</v>
      </c>
      <c r="G792" s="11" t="n">
        <v>23</v>
      </c>
      <c r="H792" s="11"/>
      <c r="I792" s="11"/>
      <c r="J792" s="11"/>
      <c r="K792" s="10" t="str">
        <f aca="false">IF(ISNUMBER(J792),IF(J792&lt;10,"ультра-НЧ",IF(J792&lt;100,"НЧ",IF(J792&lt;=1000,"СЧ","ВЧ"))),IF(ISNUMBER(I792),IF(I792&lt;10,"ультра-НЧ",IF(I792&lt;100,"НЧ",IF(I792&lt;=1000,"СЧ","ВЧ"))),"нет данных"))</f>
        <v>нет данных</v>
      </c>
      <c r="L792" s="12" t="str">
        <f aca="false">IF(AND(ISNUMBER(G792),G792&gt;0,ISNUMBER(I792)),I792/G792,"")</f>
        <v/>
      </c>
      <c r="M792" s="10" t="s">
        <v>1172</v>
      </c>
      <c r="N792" s="10" t="s">
        <v>1190</v>
      </c>
      <c r="O792" s="10" t="s">
        <v>1173</v>
      </c>
    </row>
    <row r="793" customFormat="false" ht="15" hidden="false" customHeight="false" outlineLevel="0" collapsed="false">
      <c r="A793" s="10" t="n">
        <v>792</v>
      </c>
      <c r="B793" s="10" t="s">
        <v>1191</v>
      </c>
      <c r="C793" s="10" t="s">
        <v>1169</v>
      </c>
      <c r="D793" s="10" t="s">
        <v>1170</v>
      </c>
      <c r="E793" s="10" t="s">
        <v>1171</v>
      </c>
      <c r="F793" s="10" t="s">
        <v>136</v>
      </c>
      <c r="G793" s="11" t="n">
        <v>40</v>
      </c>
      <c r="H793" s="11"/>
      <c r="I793" s="11" t="n">
        <v>1</v>
      </c>
      <c r="J793" s="11"/>
      <c r="K793" s="10" t="str">
        <f aca="false">IF(ISNUMBER(J793),IF(J793&lt;10,"ультра-НЧ",IF(J793&lt;100,"НЧ",IF(J793&lt;=1000,"СЧ","ВЧ"))),IF(ISNUMBER(I793),IF(I793&lt;10,"ультра-НЧ",IF(I793&lt;100,"НЧ",IF(I793&lt;=1000,"СЧ","ВЧ"))),"нет данных"))</f>
        <v>ультра-НЧ</v>
      </c>
      <c r="L793" s="12" t="n">
        <f aca="false">IF(AND(ISNUMBER(G793),G793&gt;0,ISNUMBER(I793)),I793/G793,"")</f>
        <v>0.025</v>
      </c>
      <c r="M793" s="10" t="s">
        <v>1172</v>
      </c>
      <c r="N793" s="10" t="s">
        <v>1192</v>
      </c>
      <c r="O793" s="10" t="s">
        <v>1173</v>
      </c>
    </row>
    <row r="794" customFormat="false" ht="15" hidden="false" customHeight="false" outlineLevel="0" collapsed="false">
      <c r="A794" s="10" t="n">
        <v>793</v>
      </c>
      <c r="B794" s="10" t="s">
        <v>1193</v>
      </c>
      <c r="C794" s="10" t="s">
        <v>1194</v>
      </c>
      <c r="D794" s="10" t="s">
        <v>1195</v>
      </c>
      <c r="E794" s="10" t="s">
        <v>1196</v>
      </c>
      <c r="F794" s="10" t="s">
        <v>93</v>
      </c>
      <c r="G794" s="11" t="n">
        <v>123</v>
      </c>
      <c r="H794" s="11" t="n">
        <v>19</v>
      </c>
      <c r="I794" s="11" t="n">
        <v>0</v>
      </c>
      <c r="J794" s="11" t="n">
        <v>0</v>
      </c>
      <c r="K794" s="10" t="str">
        <f aca="false">IF(ISNUMBER(J794),IF(J794&lt;10,"ультра-НЧ",IF(J794&lt;100,"НЧ",IF(J794&lt;=1000,"СЧ","ВЧ"))),IF(ISNUMBER(I794),IF(I794&lt;10,"ультра-НЧ",IF(I794&lt;100,"НЧ",IF(I794&lt;=1000,"СЧ","ВЧ"))),"нет данных"))</f>
        <v>ультра-НЧ</v>
      </c>
      <c r="L794" s="12" t="n">
        <f aca="false">IF(AND(ISNUMBER(G794),G794&gt;0,ISNUMBER(I794)),I794/G794,"")</f>
        <v>0</v>
      </c>
      <c r="M794" s="10" t="s">
        <v>1197</v>
      </c>
      <c r="N794" s="10" t="s">
        <v>1193</v>
      </c>
      <c r="O794" s="10" t="s">
        <v>1198</v>
      </c>
    </row>
    <row r="795" customFormat="false" ht="15" hidden="false" customHeight="false" outlineLevel="0" collapsed="false">
      <c r="A795" s="10" t="n">
        <v>794</v>
      </c>
      <c r="B795" s="10" t="s">
        <v>1199</v>
      </c>
      <c r="C795" s="10" t="s">
        <v>1194</v>
      </c>
      <c r="D795" s="10" t="s">
        <v>1195</v>
      </c>
      <c r="E795" s="10" t="s">
        <v>1196</v>
      </c>
      <c r="F795" s="10" t="s">
        <v>93</v>
      </c>
      <c r="G795" s="11" t="n">
        <v>12</v>
      </c>
      <c r="H795" s="11" t="n">
        <v>2</v>
      </c>
      <c r="I795" s="11" t="n">
        <v>0</v>
      </c>
      <c r="J795" s="11" t="n">
        <v>0</v>
      </c>
      <c r="K795" s="10" t="str">
        <f aca="false">IF(ISNUMBER(J795),IF(J795&lt;10,"ультра-НЧ",IF(J795&lt;100,"НЧ",IF(J795&lt;=1000,"СЧ","ВЧ"))),IF(ISNUMBER(I795),IF(I795&lt;10,"ультра-НЧ",IF(I795&lt;100,"НЧ",IF(I795&lt;=1000,"СЧ","ВЧ"))),"нет данных"))</f>
        <v>ультра-НЧ</v>
      </c>
      <c r="L795" s="12" t="n">
        <f aca="false">IF(AND(ISNUMBER(G795),G795&gt;0,ISNUMBER(I795)),I795/G795,"")</f>
        <v>0</v>
      </c>
      <c r="M795" s="10" t="s">
        <v>1197</v>
      </c>
      <c r="N795" s="10" t="s">
        <v>1199</v>
      </c>
      <c r="O795" s="10" t="s">
        <v>1198</v>
      </c>
    </row>
    <row r="796" customFormat="false" ht="15" hidden="false" customHeight="false" outlineLevel="0" collapsed="false">
      <c r="A796" s="10" t="n">
        <v>795</v>
      </c>
      <c r="B796" s="10" t="s">
        <v>1200</v>
      </c>
      <c r="C796" s="10" t="s">
        <v>1194</v>
      </c>
      <c r="D796" s="10" t="s">
        <v>1195</v>
      </c>
      <c r="E796" s="10" t="s">
        <v>1196</v>
      </c>
      <c r="F796" s="10" t="s">
        <v>93</v>
      </c>
      <c r="G796" s="11" t="n">
        <v>9143</v>
      </c>
      <c r="H796" s="11" t="n">
        <v>11</v>
      </c>
      <c r="I796" s="11" t="n">
        <v>6786</v>
      </c>
      <c r="J796" s="11" t="n">
        <v>7</v>
      </c>
      <c r="K796" s="10" t="str">
        <f aca="false">IF(ISNUMBER(J796),IF(J796&lt;10,"ультра-НЧ",IF(J796&lt;100,"НЧ",IF(J796&lt;=1000,"СЧ","ВЧ"))),IF(ISNUMBER(I796),IF(I796&lt;10,"ультра-НЧ",IF(I796&lt;100,"НЧ",IF(I796&lt;=1000,"СЧ","ВЧ"))),"нет данных"))</f>
        <v>ультра-НЧ</v>
      </c>
      <c r="L796" s="12" t="n">
        <f aca="false">IF(AND(ISNUMBER(G796),G796&gt;0,ISNUMBER(I796)),I796/G796,"")</f>
        <v>0.742207153013234</v>
      </c>
      <c r="M796" s="10" t="s">
        <v>1197</v>
      </c>
      <c r="N796" s="10" t="s">
        <v>1200</v>
      </c>
      <c r="O796" s="10" t="s">
        <v>1198</v>
      </c>
    </row>
    <row r="797" customFormat="false" ht="15" hidden="false" customHeight="false" outlineLevel="0" collapsed="false">
      <c r="A797" s="10" t="n">
        <v>796</v>
      </c>
      <c r="B797" s="10" t="s">
        <v>1201</v>
      </c>
      <c r="C797" s="10" t="s">
        <v>1194</v>
      </c>
      <c r="D797" s="10" t="s">
        <v>1195</v>
      </c>
      <c r="E797" s="10" t="s">
        <v>1196</v>
      </c>
      <c r="F797" s="10" t="s">
        <v>93</v>
      </c>
      <c r="G797" s="11" t="n">
        <v>4</v>
      </c>
      <c r="H797" s="11" t="n">
        <v>0</v>
      </c>
      <c r="I797" s="11" t="n">
        <v>3</v>
      </c>
      <c r="J797" s="11" t="n">
        <v>0</v>
      </c>
      <c r="K797" s="10" t="str">
        <f aca="false">IF(ISNUMBER(J797),IF(J797&lt;10,"ультра-НЧ",IF(J797&lt;100,"НЧ",IF(J797&lt;=1000,"СЧ","ВЧ"))),IF(ISNUMBER(I797),IF(I797&lt;10,"ультра-НЧ",IF(I797&lt;100,"НЧ",IF(I797&lt;=1000,"СЧ","ВЧ"))),"нет данных"))</f>
        <v>ультра-НЧ</v>
      </c>
      <c r="L797" s="12" t="n">
        <f aca="false">IF(AND(ISNUMBER(G797),G797&gt;0,ISNUMBER(I797)),I797/G797,"")</f>
        <v>0.75</v>
      </c>
      <c r="M797" s="10" t="s">
        <v>1197</v>
      </c>
      <c r="N797" s="10" t="s">
        <v>1201</v>
      </c>
      <c r="O797" s="10" t="s">
        <v>1198</v>
      </c>
    </row>
    <row r="798" customFormat="false" ht="15" hidden="false" customHeight="false" outlineLevel="0" collapsed="false">
      <c r="A798" s="10" t="n">
        <v>797</v>
      </c>
      <c r="B798" s="10" t="s">
        <v>1202</v>
      </c>
      <c r="C798" s="10" t="s">
        <v>1194</v>
      </c>
      <c r="D798" s="10" t="s">
        <v>1195</v>
      </c>
      <c r="E798" s="10" t="s">
        <v>1196</v>
      </c>
      <c r="F798" s="10" t="s">
        <v>93</v>
      </c>
      <c r="G798" s="11"/>
      <c r="H798" s="11" t="n">
        <v>0</v>
      </c>
      <c r="I798" s="11" t="n">
        <v>0</v>
      </c>
      <c r="J798" s="11" t="n">
        <v>0</v>
      </c>
      <c r="K798" s="10" t="str">
        <f aca="false">IF(ISNUMBER(J798),IF(J798&lt;10,"ультра-НЧ",IF(J798&lt;100,"НЧ",IF(J798&lt;=1000,"СЧ","ВЧ"))),IF(ISNUMBER(I798),IF(I798&lt;10,"ультра-НЧ",IF(I798&lt;100,"НЧ",IF(I798&lt;=1000,"СЧ","ВЧ"))),"нет данных"))</f>
        <v>ультра-НЧ</v>
      </c>
      <c r="L798" s="12" t="str">
        <f aca="false">IF(AND(ISNUMBER(G798),G798&gt;0,ISNUMBER(I798)),I798/G798,"")</f>
        <v/>
      </c>
      <c r="M798" s="10" t="s">
        <v>1197</v>
      </c>
      <c r="N798" s="10" t="s">
        <v>1202</v>
      </c>
      <c r="O798" s="10" t="s">
        <v>1198</v>
      </c>
    </row>
    <row r="799" customFormat="false" ht="15" hidden="false" customHeight="false" outlineLevel="0" collapsed="false">
      <c r="A799" s="10" t="n">
        <v>798</v>
      </c>
      <c r="B799" s="10" t="s">
        <v>1203</v>
      </c>
      <c r="C799" s="10" t="s">
        <v>1194</v>
      </c>
      <c r="D799" s="10" t="s">
        <v>1195</v>
      </c>
      <c r="E799" s="10" t="s">
        <v>1196</v>
      </c>
      <c r="F799" s="10" t="s">
        <v>123</v>
      </c>
      <c r="G799" s="11" t="n">
        <v>619</v>
      </c>
      <c r="H799" s="11"/>
      <c r="I799" s="11"/>
      <c r="J799" s="11" t="n">
        <v>0</v>
      </c>
      <c r="K799" s="10" t="str">
        <f aca="false">IF(ISNUMBER(J799),IF(J799&lt;10,"ультра-НЧ",IF(J799&lt;100,"НЧ",IF(J799&lt;=1000,"СЧ","ВЧ"))),IF(ISNUMBER(I799),IF(I799&lt;10,"ультра-НЧ",IF(I799&lt;100,"НЧ",IF(I799&lt;=1000,"СЧ","ВЧ"))),"нет данных"))</f>
        <v>ультра-НЧ</v>
      </c>
      <c r="L799" s="12" t="str">
        <f aca="false">IF(AND(ISNUMBER(G799),G799&gt;0,ISNUMBER(I799)),I799/G799,"")</f>
        <v/>
      </c>
      <c r="M799" s="10" t="s">
        <v>1197</v>
      </c>
      <c r="N799" s="10" t="s">
        <v>1203</v>
      </c>
      <c r="O799" s="10" t="s">
        <v>1198</v>
      </c>
    </row>
    <row r="800" customFormat="false" ht="15" hidden="false" customHeight="false" outlineLevel="0" collapsed="false">
      <c r="A800" s="10" t="n">
        <v>799</v>
      </c>
      <c r="B800" s="10" t="s">
        <v>1204</v>
      </c>
      <c r="C800" s="10" t="s">
        <v>1194</v>
      </c>
      <c r="D800" s="10" t="s">
        <v>1195</v>
      </c>
      <c r="E800" s="10" t="s">
        <v>1196</v>
      </c>
      <c r="F800" s="10" t="s">
        <v>136</v>
      </c>
      <c r="G800" s="11" t="n">
        <v>162</v>
      </c>
      <c r="H800" s="11"/>
      <c r="I800" s="11"/>
      <c r="J800" s="11"/>
      <c r="K800" s="10" t="str">
        <f aca="false">IF(ISNUMBER(J800),IF(J800&lt;10,"ультра-НЧ",IF(J800&lt;100,"НЧ",IF(J800&lt;=1000,"СЧ","ВЧ"))),IF(ISNUMBER(I800),IF(I800&lt;10,"ультра-НЧ",IF(I800&lt;100,"НЧ",IF(I800&lt;=1000,"СЧ","ВЧ"))),"нет данных"))</f>
        <v>нет данных</v>
      </c>
      <c r="L800" s="12" t="str">
        <f aca="false">IF(AND(ISNUMBER(G800),G800&gt;0,ISNUMBER(I800)),I800/G800,"")</f>
        <v/>
      </c>
      <c r="M800" s="10" t="s">
        <v>1197</v>
      </c>
      <c r="N800" s="10" t="s">
        <v>1204</v>
      </c>
      <c r="O800" s="10" t="s">
        <v>1198</v>
      </c>
    </row>
    <row r="801" customFormat="false" ht="15" hidden="false" customHeight="false" outlineLevel="0" collapsed="false">
      <c r="A801" s="10" t="n">
        <v>800</v>
      </c>
      <c r="B801" s="10" t="s">
        <v>1205</v>
      </c>
      <c r="C801" s="10" t="s">
        <v>1194</v>
      </c>
      <c r="D801" s="10" t="s">
        <v>1195</v>
      </c>
      <c r="E801" s="10" t="s">
        <v>1196</v>
      </c>
      <c r="F801" s="10" t="s">
        <v>136</v>
      </c>
      <c r="G801" s="11" t="n">
        <v>512</v>
      </c>
      <c r="H801" s="11"/>
      <c r="I801" s="11" t="n">
        <v>3</v>
      </c>
      <c r="J801" s="11"/>
      <c r="K801" s="10" t="str">
        <f aca="false">IF(ISNUMBER(J801),IF(J801&lt;10,"ультра-НЧ",IF(J801&lt;100,"НЧ",IF(J801&lt;=1000,"СЧ","ВЧ"))),IF(ISNUMBER(I801),IF(I801&lt;10,"ультра-НЧ",IF(I801&lt;100,"НЧ",IF(I801&lt;=1000,"СЧ","ВЧ"))),"нет данных"))</f>
        <v>ультра-НЧ</v>
      </c>
      <c r="L801" s="12" t="n">
        <f aca="false">IF(AND(ISNUMBER(G801),G801&gt;0,ISNUMBER(I801)),I801/G801,"")</f>
        <v>0.005859375</v>
      </c>
      <c r="M801" s="10" t="s">
        <v>1197</v>
      </c>
      <c r="N801" s="10" t="s">
        <v>1205</v>
      </c>
      <c r="O801" s="10" t="s">
        <v>1198</v>
      </c>
    </row>
    <row r="802" customFormat="false" ht="15" hidden="false" customHeight="false" outlineLevel="0" collapsed="false">
      <c r="A802" s="10" t="n">
        <v>801</v>
      </c>
      <c r="B802" s="10" t="s">
        <v>1206</v>
      </c>
      <c r="C802" s="10" t="s">
        <v>1207</v>
      </c>
      <c r="D802" s="10" t="s">
        <v>1208</v>
      </c>
      <c r="E802" s="10" t="s">
        <v>1209</v>
      </c>
      <c r="F802" s="10" t="s">
        <v>93</v>
      </c>
      <c r="G802" s="11"/>
      <c r="H802" s="11" t="n">
        <v>280</v>
      </c>
      <c r="I802" s="11" t="n">
        <v>2039</v>
      </c>
      <c r="J802" s="11" t="n">
        <v>256</v>
      </c>
      <c r="K802" s="10" t="str">
        <f aca="false">IF(ISNUMBER(J802),IF(J802&lt;10,"ультра-НЧ",IF(J802&lt;100,"НЧ",IF(J802&lt;=1000,"СЧ","ВЧ"))),IF(ISNUMBER(I802),IF(I802&lt;10,"ультра-НЧ",IF(I802&lt;100,"НЧ",IF(I802&lt;=1000,"СЧ","ВЧ"))),"нет данных"))</f>
        <v>СЧ</v>
      </c>
      <c r="L802" s="12" t="str">
        <f aca="false">IF(AND(ISNUMBER(G802),G802&gt;0,ISNUMBER(I802)),I802/G802,"")</f>
        <v/>
      </c>
      <c r="M802" s="10" t="s">
        <v>1210</v>
      </c>
      <c r="N802" s="10" t="s">
        <v>1211</v>
      </c>
      <c r="O802" s="10" t="s">
        <v>1212</v>
      </c>
    </row>
    <row r="803" customFormat="false" ht="15" hidden="false" customHeight="false" outlineLevel="0" collapsed="false">
      <c r="A803" s="10" t="n">
        <v>802</v>
      </c>
      <c r="B803" s="10" t="s">
        <v>1213</v>
      </c>
      <c r="C803" s="10" t="s">
        <v>1207</v>
      </c>
      <c r="D803" s="10" t="s">
        <v>1208</v>
      </c>
      <c r="E803" s="10" t="s">
        <v>1209</v>
      </c>
      <c r="F803" s="10" t="s">
        <v>93</v>
      </c>
      <c r="G803" s="11" t="n">
        <v>577488</v>
      </c>
      <c r="H803" s="11" t="n">
        <v>11282</v>
      </c>
      <c r="I803" s="11" t="n">
        <v>12062</v>
      </c>
      <c r="J803" s="11" t="n">
        <v>256</v>
      </c>
      <c r="K803" s="10" t="str">
        <f aca="false">IF(ISNUMBER(J803),IF(J803&lt;10,"ультра-НЧ",IF(J803&lt;100,"НЧ",IF(J803&lt;=1000,"СЧ","ВЧ"))),IF(ISNUMBER(I803),IF(I803&lt;10,"ультра-НЧ",IF(I803&lt;100,"НЧ",IF(I803&lt;=1000,"СЧ","ВЧ"))),"нет данных"))</f>
        <v>СЧ</v>
      </c>
      <c r="L803" s="12" t="n">
        <f aca="false">IF(AND(ISNUMBER(G803),G803&gt;0,ISNUMBER(I803)),I803/G803,"")</f>
        <v>0.0208870141024575</v>
      </c>
      <c r="M803" s="10" t="s">
        <v>1210</v>
      </c>
      <c r="N803" s="10" t="s">
        <v>1211</v>
      </c>
      <c r="O803" s="10" t="s">
        <v>1214</v>
      </c>
    </row>
    <row r="804" customFormat="false" ht="15" hidden="false" customHeight="false" outlineLevel="0" collapsed="false">
      <c r="A804" s="10" t="n">
        <v>803</v>
      </c>
      <c r="B804" s="10" t="s">
        <v>1215</v>
      </c>
      <c r="C804" s="10" t="s">
        <v>1207</v>
      </c>
      <c r="D804" s="10" t="s">
        <v>1208</v>
      </c>
      <c r="E804" s="10" t="s">
        <v>1209</v>
      </c>
      <c r="F804" s="10" t="s">
        <v>93</v>
      </c>
      <c r="G804" s="11" t="n">
        <v>71</v>
      </c>
      <c r="H804" s="11" t="n">
        <v>3</v>
      </c>
      <c r="I804" s="11" t="n">
        <v>0</v>
      </c>
      <c r="J804" s="11" t="n">
        <v>0</v>
      </c>
      <c r="K804" s="10" t="str">
        <f aca="false">IF(ISNUMBER(J804),IF(J804&lt;10,"ультра-НЧ",IF(J804&lt;100,"НЧ",IF(J804&lt;=1000,"СЧ","ВЧ"))),IF(ISNUMBER(I804),IF(I804&lt;10,"ультра-НЧ",IF(I804&lt;100,"НЧ",IF(I804&lt;=1000,"СЧ","ВЧ"))),"нет данных"))</f>
        <v>ультра-НЧ</v>
      </c>
      <c r="L804" s="12" t="n">
        <f aca="false">IF(AND(ISNUMBER(G804),G804&gt;0,ISNUMBER(I804)),I804/G804,"")</f>
        <v>0</v>
      </c>
      <c r="M804" s="10" t="s">
        <v>1210</v>
      </c>
      <c r="N804" s="10" t="s">
        <v>1211</v>
      </c>
      <c r="O804" s="10" t="s">
        <v>1216</v>
      </c>
    </row>
    <row r="805" customFormat="false" ht="15" hidden="false" customHeight="false" outlineLevel="0" collapsed="false">
      <c r="A805" s="10" t="n">
        <v>804</v>
      </c>
      <c r="B805" s="10" t="s">
        <v>1217</v>
      </c>
      <c r="C805" s="10" t="s">
        <v>1207</v>
      </c>
      <c r="D805" s="10" t="s">
        <v>1208</v>
      </c>
      <c r="E805" s="10" t="s">
        <v>1209</v>
      </c>
      <c r="F805" s="10" t="s">
        <v>93</v>
      </c>
      <c r="G805" s="11" t="n">
        <v>69</v>
      </c>
      <c r="H805" s="11" t="n">
        <v>18</v>
      </c>
      <c r="I805" s="11" t="n">
        <v>0</v>
      </c>
      <c r="J805" s="11" t="n">
        <v>0</v>
      </c>
      <c r="K805" s="10" t="str">
        <f aca="false">IF(ISNUMBER(J805),IF(J805&lt;10,"ультра-НЧ",IF(J805&lt;100,"НЧ",IF(J805&lt;=1000,"СЧ","ВЧ"))),IF(ISNUMBER(I805),IF(I805&lt;10,"ультра-НЧ",IF(I805&lt;100,"НЧ",IF(I805&lt;=1000,"СЧ","ВЧ"))),"нет данных"))</f>
        <v>ультра-НЧ</v>
      </c>
      <c r="L805" s="12" t="n">
        <f aca="false">IF(AND(ISNUMBER(G805),G805&gt;0,ISNUMBER(I805)),I805/G805,"")</f>
        <v>0</v>
      </c>
      <c r="M805" s="10" t="s">
        <v>1210</v>
      </c>
      <c r="N805" s="10" t="s">
        <v>1211</v>
      </c>
      <c r="O805" s="10" t="s">
        <v>1218</v>
      </c>
    </row>
    <row r="806" customFormat="false" ht="15" hidden="false" customHeight="false" outlineLevel="0" collapsed="false">
      <c r="A806" s="10" t="n">
        <v>805</v>
      </c>
      <c r="B806" s="10" t="s">
        <v>1219</v>
      </c>
      <c r="C806" s="10" t="s">
        <v>1207</v>
      </c>
      <c r="D806" s="10" t="s">
        <v>1208</v>
      </c>
      <c r="E806" s="10" t="s">
        <v>1209</v>
      </c>
      <c r="F806" s="10" t="s">
        <v>93</v>
      </c>
      <c r="G806" s="11" t="n">
        <v>15390</v>
      </c>
      <c r="H806" s="11" t="n">
        <v>568</v>
      </c>
      <c r="I806" s="11" t="n">
        <v>307</v>
      </c>
      <c r="J806" s="11" t="n">
        <v>59</v>
      </c>
      <c r="K806" s="10" t="str">
        <f aca="false">IF(ISNUMBER(J806),IF(J806&lt;10,"ультра-НЧ",IF(J806&lt;100,"НЧ",IF(J806&lt;=1000,"СЧ","ВЧ"))),IF(ISNUMBER(I806),IF(I806&lt;10,"ультра-НЧ",IF(I806&lt;100,"НЧ",IF(I806&lt;=1000,"СЧ","ВЧ"))),"нет данных"))</f>
        <v>НЧ</v>
      </c>
      <c r="L806" s="12" t="n">
        <f aca="false">IF(AND(ISNUMBER(G806),G806&gt;0,ISNUMBER(I806)),I806/G806,"")</f>
        <v>0.0199480181936322</v>
      </c>
      <c r="M806" s="10" t="s">
        <v>1210</v>
      </c>
      <c r="N806" s="10" t="s">
        <v>1211</v>
      </c>
      <c r="O806" s="10" t="s">
        <v>1220</v>
      </c>
    </row>
    <row r="807" customFormat="false" ht="15" hidden="false" customHeight="false" outlineLevel="0" collapsed="false">
      <c r="A807" s="10" t="n">
        <v>806</v>
      </c>
      <c r="B807" s="10" t="s">
        <v>1221</v>
      </c>
      <c r="C807" s="10" t="s">
        <v>1207</v>
      </c>
      <c r="D807" s="10" t="s">
        <v>1208</v>
      </c>
      <c r="E807" s="10" t="s">
        <v>1209</v>
      </c>
      <c r="F807" s="10" t="s">
        <v>93</v>
      </c>
      <c r="G807" s="11" t="n">
        <v>288</v>
      </c>
      <c r="H807" s="11" t="n">
        <v>51</v>
      </c>
      <c r="I807" s="11" t="n">
        <v>278</v>
      </c>
      <c r="J807" s="11" t="n">
        <v>45</v>
      </c>
      <c r="K807" s="10" t="str">
        <f aca="false">IF(ISNUMBER(J807),IF(J807&lt;10,"ультра-НЧ",IF(J807&lt;100,"НЧ",IF(J807&lt;=1000,"СЧ","ВЧ"))),IF(ISNUMBER(I807),IF(I807&lt;10,"ультра-НЧ",IF(I807&lt;100,"НЧ",IF(I807&lt;=1000,"СЧ","ВЧ"))),"нет данных"))</f>
        <v>НЧ</v>
      </c>
      <c r="L807" s="12" t="n">
        <f aca="false">IF(AND(ISNUMBER(G807),G807&gt;0,ISNUMBER(I807)),I807/G807,"")</f>
        <v>0.965277777777778</v>
      </c>
      <c r="M807" s="10" t="s">
        <v>1210</v>
      </c>
      <c r="N807" s="10" t="s">
        <v>1211</v>
      </c>
      <c r="O807" s="10" t="s">
        <v>1222</v>
      </c>
    </row>
    <row r="808" customFormat="false" ht="15" hidden="false" customHeight="false" outlineLevel="0" collapsed="false">
      <c r="A808" s="10" t="n">
        <v>807</v>
      </c>
      <c r="B808" s="10" t="s">
        <v>1223</v>
      </c>
      <c r="C808" s="10" t="s">
        <v>1207</v>
      </c>
      <c r="D808" s="10" t="s">
        <v>1208</v>
      </c>
      <c r="E808" s="10" t="s">
        <v>1209</v>
      </c>
      <c r="F808" s="10" t="s">
        <v>93</v>
      </c>
      <c r="G808" s="11" t="n">
        <v>219</v>
      </c>
      <c r="H808" s="11" t="n">
        <v>28</v>
      </c>
      <c r="I808" s="11" t="n">
        <v>203</v>
      </c>
      <c r="J808" s="11" t="n">
        <v>28</v>
      </c>
      <c r="K808" s="10" t="str">
        <f aca="false">IF(ISNUMBER(J808),IF(J808&lt;10,"ультра-НЧ",IF(J808&lt;100,"НЧ",IF(J808&lt;=1000,"СЧ","ВЧ"))),IF(ISNUMBER(I808),IF(I808&lt;10,"ультра-НЧ",IF(I808&lt;100,"НЧ",IF(I808&lt;=1000,"СЧ","ВЧ"))),"нет данных"))</f>
        <v>НЧ</v>
      </c>
      <c r="L808" s="12" t="n">
        <f aca="false">IF(AND(ISNUMBER(G808),G808&gt;0,ISNUMBER(I808)),I808/G808,"")</f>
        <v>0.926940639269406</v>
      </c>
      <c r="M808" s="10" t="s">
        <v>1210</v>
      </c>
      <c r="N808" s="10" t="s">
        <v>1211</v>
      </c>
      <c r="O808" s="10" t="s">
        <v>1224</v>
      </c>
    </row>
    <row r="809" customFormat="false" ht="15" hidden="false" customHeight="false" outlineLevel="0" collapsed="false">
      <c r="A809" s="10" t="n">
        <v>808</v>
      </c>
      <c r="B809" s="10" t="s">
        <v>1225</v>
      </c>
      <c r="C809" s="10" t="s">
        <v>1207</v>
      </c>
      <c r="D809" s="10" t="s">
        <v>1208</v>
      </c>
      <c r="E809" s="10" t="s">
        <v>1209</v>
      </c>
      <c r="F809" s="10" t="s">
        <v>93</v>
      </c>
      <c r="G809" s="11" t="n">
        <v>9329</v>
      </c>
      <c r="H809" s="11" t="n">
        <v>662</v>
      </c>
      <c r="I809" s="11" t="n">
        <v>172</v>
      </c>
      <c r="J809" s="11" t="n">
        <v>13</v>
      </c>
      <c r="K809" s="10" t="str">
        <f aca="false">IF(ISNUMBER(J809),IF(J809&lt;10,"ультра-НЧ",IF(J809&lt;100,"НЧ",IF(J809&lt;=1000,"СЧ","ВЧ"))),IF(ISNUMBER(I809),IF(I809&lt;10,"ультра-НЧ",IF(I809&lt;100,"НЧ",IF(I809&lt;=1000,"СЧ","ВЧ"))),"нет данных"))</f>
        <v>НЧ</v>
      </c>
      <c r="L809" s="12" t="n">
        <f aca="false">IF(AND(ISNUMBER(G809),G809&gt;0,ISNUMBER(I809)),I809/G809,"")</f>
        <v>0.0184371315253511</v>
      </c>
      <c r="M809" s="10" t="s">
        <v>1210</v>
      </c>
      <c r="N809" s="10" t="s">
        <v>1211</v>
      </c>
      <c r="O809" s="10" t="s">
        <v>1226</v>
      </c>
    </row>
    <row r="810" customFormat="false" ht="15" hidden="false" customHeight="false" outlineLevel="0" collapsed="false">
      <c r="A810" s="10" t="n">
        <v>809</v>
      </c>
      <c r="B810" s="10" t="s">
        <v>1227</v>
      </c>
      <c r="C810" s="10" t="s">
        <v>1207</v>
      </c>
      <c r="D810" s="10" t="s">
        <v>1208</v>
      </c>
      <c r="E810" s="10" t="s">
        <v>1209</v>
      </c>
      <c r="F810" s="10" t="s">
        <v>93</v>
      </c>
      <c r="G810" s="11" t="n">
        <v>64</v>
      </c>
      <c r="H810" s="11" t="n">
        <v>0</v>
      </c>
      <c r="I810" s="11" t="n">
        <v>7</v>
      </c>
      <c r="J810" s="11" t="n">
        <v>0</v>
      </c>
      <c r="K810" s="10" t="str">
        <f aca="false">IF(ISNUMBER(J810),IF(J810&lt;10,"ультра-НЧ",IF(J810&lt;100,"НЧ",IF(J810&lt;=1000,"СЧ","ВЧ"))),IF(ISNUMBER(I810),IF(I810&lt;10,"ультра-НЧ",IF(I810&lt;100,"НЧ",IF(I810&lt;=1000,"СЧ","ВЧ"))),"нет данных"))</f>
        <v>ультра-НЧ</v>
      </c>
      <c r="L810" s="12" t="n">
        <f aca="false">IF(AND(ISNUMBER(G810),G810&gt;0,ISNUMBER(I810)),I810/G810,"")</f>
        <v>0.109375</v>
      </c>
      <c r="M810" s="10" t="s">
        <v>1210</v>
      </c>
      <c r="N810" s="10" t="s">
        <v>1211</v>
      </c>
      <c r="O810" s="10" t="s">
        <v>1212</v>
      </c>
    </row>
    <row r="811" customFormat="false" ht="15" hidden="false" customHeight="false" outlineLevel="0" collapsed="false">
      <c r="A811" s="10" t="n">
        <v>810</v>
      </c>
      <c r="B811" s="10" t="s">
        <v>1228</v>
      </c>
      <c r="C811" s="10" t="s">
        <v>1207</v>
      </c>
      <c r="D811" s="10" t="s">
        <v>1208</v>
      </c>
      <c r="E811" s="10" t="s">
        <v>1209</v>
      </c>
      <c r="F811" s="10" t="s">
        <v>93</v>
      </c>
      <c r="G811" s="11" t="n">
        <v>256</v>
      </c>
      <c r="H811" s="11" t="n">
        <v>0</v>
      </c>
      <c r="I811" s="11" t="n">
        <v>6</v>
      </c>
      <c r="J811" s="11" t="n">
        <v>0</v>
      </c>
      <c r="K811" s="10" t="str">
        <f aca="false">IF(ISNUMBER(J811),IF(J811&lt;10,"ультра-НЧ",IF(J811&lt;100,"НЧ",IF(J811&lt;=1000,"СЧ","ВЧ"))),IF(ISNUMBER(I811),IF(I811&lt;10,"ультра-НЧ",IF(I811&lt;100,"НЧ",IF(I811&lt;=1000,"СЧ","ВЧ"))),"нет данных"))</f>
        <v>ультра-НЧ</v>
      </c>
      <c r="L811" s="12" t="n">
        <f aca="false">IF(AND(ISNUMBER(G811),G811&gt;0,ISNUMBER(I811)),I811/G811,"")</f>
        <v>0.0234375</v>
      </c>
      <c r="M811" s="10" t="s">
        <v>1210</v>
      </c>
      <c r="N811" s="10" t="s">
        <v>1211</v>
      </c>
      <c r="O811" s="10" t="s">
        <v>1229</v>
      </c>
    </row>
    <row r="812" customFormat="false" ht="15" hidden="false" customHeight="false" outlineLevel="0" collapsed="false">
      <c r="A812" s="10" t="n">
        <v>811</v>
      </c>
      <c r="B812" s="10" t="s">
        <v>1230</v>
      </c>
      <c r="C812" s="10" t="s">
        <v>1207</v>
      </c>
      <c r="D812" s="10" t="s">
        <v>1208</v>
      </c>
      <c r="E812" s="10" t="s">
        <v>1209</v>
      </c>
      <c r="F812" s="10" t="s">
        <v>93</v>
      </c>
      <c r="G812" s="11" t="n">
        <v>607</v>
      </c>
      <c r="H812" s="11" t="n">
        <v>47</v>
      </c>
      <c r="I812" s="11" t="n">
        <v>5</v>
      </c>
      <c r="J812" s="11" t="n">
        <v>3</v>
      </c>
      <c r="K812" s="10" t="str">
        <f aca="false">IF(ISNUMBER(J812),IF(J812&lt;10,"ультра-НЧ",IF(J812&lt;100,"НЧ",IF(J812&lt;=1000,"СЧ","ВЧ"))),IF(ISNUMBER(I812),IF(I812&lt;10,"ультра-НЧ",IF(I812&lt;100,"НЧ",IF(I812&lt;=1000,"СЧ","ВЧ"))),"нет данных"))</f>
        <v>ультра-НЧ</v>
      </c>
      <c r="L812" s="12" t="n">
        <f aca="false">IF(AND(ISNUMBER(G812),G812&gt;0,ISNUMBER(I812)),I812/G812,"")</f>
        <v>0.00823723228995058</v>
      </c>
      <c r="M812" s="10" t="s">
        <v>1210</v>
      </c>
      <c r="N812" s="10" t="s">
        <v>1211</v>
      </c>
      <c r="O812" s="10" t="s">
        <v>1231</v>
      </c>
    </row>
    <row r="813" customFormat="false" ht="15" hidden="false" customHeight="false" outlineLevel="0" collapsed="false">
      <c r="A813" s="10" t="n">
        <v>812</v>
      </c>
      <c r="B813" s="10" t="s">
        <v>1232</v>
      </c>
      <c r="C813" s="10" t="s">
        <v>1207</v>
      </c>
      <c r="D813" s="10" t="s">
        <v>1208</v>
      </c>
      <c r="E813" s="10" t="s">
        <v>1209</v>
      </c>
      <c r="F813" s="10" t="s">
        <v>93</v>
      </c>
      <c r="G813" s="11" t="n">
        <v>536</v>
      </c>
      <c r="H813" s="11" t="n">
        <v>8</v>
      </c>
      <c r="I813" s="11" t="n">
        <v>2</v>
      </c>
      <c r="J813" s="11" t="n">
        <v>0</v>
      </c>
      <c r="K813" s="10" t="str">
        <f aca="false">IF(ISNUMBER(J813),IF(J813&lt;10,"ультра-НЧ",IF(J813&lt;100,"НЧ",IF(J813&lt;=1000,"СЧ","ВЧ"))),IF(ISNUMBER(I813),IF(I813&lt;10,"ультра-НЧ",IF(I813&lt;100,"НЧ",IF(I813&lt;=1000,"СЧ","ВЧ"))),"нет данных"))</f>
        <v>ультра-НЧ</v>
      </c>
      <c r="L813" s="12" t="n">
        <f aca="false">IF(AND(ISNUMBER(G813),G813&gt;0,ISNUMBER(I813)),I813/G813,"")</f>
        <v>0.00373134328358209</v>
      </c>
      <c r="M813" s="10" t="s">
        <v>1210</v>
      </c>
      <c r="N813" s="10" t="s">
        <v>1211</v>
      </c>
      <c r="O813" s="10" t="s">
        <v>1220</v>
      </c>
    </row>
    <row r="814" customFormat="false" ht="15" hidden="false" customHeight="false" outlineLevel="0" collapsed="false">
      <c r="A814" s="10" t="n">
        <v>813</v>
      </c>
      <c r="B814" s="10" t="s">
        <v>1233</v>
      </c>
      <c r="C814" s="10" t="s">
        <v>1207</v>
      </c>
      <c r="D814" s="10" t="s">
        <v>1208</v>
      </c>
      <c r="E814" s="10" t="s">
        <v>1209</v>
      </c>
      <c r="F814" s="10" t="s">
        <v>93</v>
      </c>
      <c r="G814" s="11" t="n">
        <v>2027</v>
      </c>
      <c r="H814" s="11" t="n">
        <v>128</v>
      </c>
      <c r="I814" s="11" t="n">
        <v>39</v>
      </c>
      <c r="J814" s="11" t="n">
        <v>2</v>
      </c>
      <c r="K814" s="10" t="str">
        <f aca="false">IF(ISNUMBER(J814),IF(J814&lt;10,"ультра-НЧ",IF(J814&lt;100,"НЧ",IF(J814&lt;=1000,"СЧ","ВЧ"))),IF(ISNUMBER(I814),IF(I814&lt;10,"ультра-НЧ",IF(I814&lt;100,"НЧ",IF(I814&lt;=1000,"СЧ","ВЧ"))),"нет данных"))</f>
        <v>ультра-НЧ</v>
      </c>
      <c r="L814" s="12" t="n">
        <f aca="false">IF(AND(ISNUMBER(G814),G814&gt;0,ISNUMBER(I814)),I814/G814,"")</f>
        <v>0.0192402565367538</v>
      </c>
      <c r="M814" s="10" t="s">
        <v>1210</v>
      </c>
      <c r="N814" s="10" t="s">
        <v>1211</v>
      </c>
      <c r="O814" s="10" t="s">
        <v>1234</v>
      </c>
    </row>
    <row r="815" customFormat="false" ht="15" hidden="false" customHeight="false" outlineLevel="0" collapsed="false">
      <c r="A815" s="10" t="n">
        <v>814</v>
      </c>
      <c r="B815" s="10" t="s">
        <v>1235</v>
      </c>
      <c r="C815" s="10" t="s">
        <v>1207</v>
      </c>
      <c r="D815" s="10" t="s">
        <v>1208</v>
      </c>
      <c r="E815" s="10" t="s">
        <v>1209</v>
      </c>
      <c r="F815" s="10" t="s">
        <v>93</v>
      </c>
      <c r="G815" s="11"/>
      <c r="H815" s="11" t="n">
        <v>0</v>
      </c>
      <c r="I815" s="11" t="n">
        <v>0</v>
      </c>
      <c r="J815" s="11" t="n">
        <v>0</v>
      </c>
      <c r="K815" s="10" t="str">
        <f aca="false">IF(ISNUMBER(J815),IF(J815&lt;10,"ультра-НЧ",IF(J815&lt;100,"НЧ",IF(J815&lt;=1000,"СЧ","ВЧ"))),IF(ISNUMBER(I815),IF(I815&lt;10,"ультра-НЧ",IF(I815&lt;100,"НЧ",IF(I815&lt;=1000,"СЧ","ВЧ"))),"нет данных"))</f>
        <v>ультра-НЧ</v>
      </c>
      <c r="L815" s="12" t="str">
        <f aca="false">IF(AND(ISNUMBER(G815),G815&gt;0,ISNUMBER(I815)),I815/G815,"")</f>
        <v/>
      </c>
      <c r="M815" s="10" t="s">
        <v>1210</v>
      </c>
      <c r="N815" s="10" t="s">
        <v>1211</v>
      </c>
      <c r="O815" s="10" t="s">
        <v>1220</v>
      </c>
    </row>
    <row r="816" customFormat="false" ht="15" hidden="false" customHeight="false" outlineLevel="0" collapsed="false">
      <c r="A816" s="10" t="n">
        <v>815</v>
      </c>
      <c r="B816" s="10" t="s">
        <v>1236</v>
      </c>
      <c r="C816" s="10" t="s">
        <v>1237</v>
      </c>
      <c r="D816" s="10" t="s">
        <v>1238</v>
      </c>
      <c r="E816" s="10" t="s">
        <v>1239</v>
      </c>
      <c r="F816" s="10" t="s">
        <v>123</v>
      </c>
      <c r="G816" s="11" t="n">
        <v>1471</v>
      </c>
      <c r="H816" s="11"/>
      <c r="I816" s="11"/>
      <c r="J816" s="11" t="n">
        <v>0</v>
      </c>
      <c r="K816" s="10" t="str">
        <f aca="false">IF(ISNUMBER(J816),IF(J816&lt;10,"ультра-НЧ",IF(J816&lt;100,"НЧ",IF(J816&lt;=1000,"СЧ","ВЧ"))),IF(ISNUMBER(I816),IF(I816&lt;10,"ультра-НЧ",IF(I816&lt;100,"НЧ",IF(I816&lt;=1000,"СЧ","ВЧ"))),"нет данных"))</f>
        <v>ультра-НЧ</v>
      </c>
      <c r="L816" s="12" t="str">
        <f aca="false">IF(AND(ISNUMBER(G816),G816&gt;0,ISNUMBER(I816)),I816/G816,"")</f>
        <v/>
      </c>
      <c r="M816" s="10" t="s">
        <v>1240</v>
      </c>
      <c r="N816" s="10" t="s">
        <v>1236</v>
      </c>
      <c r="O816" s="10" t="s">
        <v>1241</v>
      </c>
    </row>
    <row r="817" customFormat="false" ht="15" hidden="false" customHeight="false" outlineLevel="0" collapsed="false">
      <c r="A817" s="10" t="n">
        <v>816</v>
      </c>
      <c r="B817" s="10" t="s">
        <v>1242</v>
      </c>
      <c r="C817" s="10" t="s">
        <v>1237</v>
      </c>
      <c r="D817" s="10" t="s">
        <v>1238</v>
      </c>
      <c r="E817" s="10" t="s">
        <v>1239</v>
      </c>
      <c r="F817" s="10" t="s">
        <v>123</v>
      </c>
      <c r="G817" s="11" t="n">
        <v>976</v>
      </c>
      <c r="H817" s="11"/>
      <c r="I817" s="11"/>
      <c r="J817" s="11" t="n">
        <v>0</v>
      </c>
      <c r="K817" s="10" t="str">
        <f aca="false">IF(ISNUMBER(J817),IF(J817&lt;10,"ультра-НЧ",IF(J817&lt;100,"НЧ",IF(J817&lt;=1000,"СЧ","ВЧ"))),IF(ISNUMBER(I817),IF(I817&lt;10,"ультра-НЧ",IF(I817&lt;100,"НЧ",IF(I817&lt;=1000,"СЧ","ВЧ"))),"нет данных"))</f>
        <v>ультра-НЧ</v>
      </c>
      <c r="L817" s="12" t="str">
        <f aca="false">IF(AND(ISNUMBER(G817),G817&gt;0,ISNUMBER(I817)),I817/G817,"")</f>
        <v/>
      </c>
      <c r="M817" s="10" t="s">
        <v>1240</v>
      </c>
      <c r="N817" s="10" t="s">
        <v>1242</v>
      </c>
      <c r="O817" s="10" t="s">
        <v>1241</v>
      </c>
    </row>
    <row r="818" customFormat="false" ht="15" hidden="false" customHeight="false" outlineLevel="0" collapsed="false">
      <c r="A818" s="10" t="n">
        <v>817</v>
      </c>
      <c r="B818" s="10" t="s">
        <v>1243</v>
      </c>
      <c r="C818" s="10" t="s">
        <v>1237</v>
      </c>
      <c r="D818" s="10" t="s">
        <v>1238</v>
      </c>
      <c r="E818" s="10" t="s">
        <v>1239</v>
      </c>
      <c r="F818" s="10" t="s">
        <v>136</v>
      </c>
      <c r="G818" s="11" t="n">
        <v>342</v>
      </c>
      <c r="H818" s="11"/>
      <c r="I818" s="11"/>
      <c r="J818" s="11"/>
      <c r="K818" s="10" t="str">
        <f aca="false">IF(ISNUMBER(J818),IF(J818&lt;10,"ультра-НЧ",IF(J818&lt;100,"НЧ",IF(J818&lt;=1000,"СЧ","ВЧ"))),IF(ISNUMBER(I818),IF(I818&lt;10,"ультра-НЧ",IF(I818&lt;100,"НЧ",IF(I818&lt;=1000,"СЧ","ВЧ"))),"нет данных"))</f>
        <v>нет данных</v>
      </c>
      <c r="L818" s="12" t="str">
        <f aca="false">IF(AND(ISNUMBER(G818),G818&gt;0,ISNUMBER(I818)),I818/G818,"")</f>
        <v/>
      </c>
      <c r="M818" s="10" t="s">
        <v>1240</v>
      </c>
      <c r="N818" s="10" t="s">
        <v>1243</v>
      </c>
      <c r="O818" s="10" t="s">
        <v>1241</v>
      </c>
    </row>
    <row r="819" customFormat="false" ht="15" hidden="false" customHeight="false" outlineLevel="0" collapsed="false">
      <c r="A819" s="10" t="n">
        <v>818</v>
      </c>
      <c r="B819" s="10" t="s">
        <v>1244</v>
      </c>
      <c r="C819" s="10" t="s">
        <v>1237</v>
      </c>
      <c r="D819" s="10" t="s">
        <v>1238</v>
      </c>
      <c r="E819" s="10" t="s">
        <v>1239</v>
      </c>
      <c r="F819" s="10" t="s">
        <v>136</v>
      </c>
      <c r="G819" s="11" t="n">
        <v>313</v>
      </c>
      <c r="H819" s="11"/>
      <c r="I819" s="11"/>
      <c r="J819" s="11"/>
      <c r="K819" s="10" t="str">
        <f aca="false">IF(ISNUMBER(J819),IF(J819&lt;10,"ультра-НЧ",IF(J819&lt;100,"НЧ",IF(J819&lt;=1000,"СЧ","ВЧ"))),IF(ISNUMBER(I819),IF(I819&lt;10,"ультра-НЧ",IF(I819&lt;100,"НЧ",IF(I819&lt;=1000,"СЧ","ВЧ"))),"нет данных"))</f>
        <v>нет данных</v>
      </c>
      <c r="L819" s="12" t="str">
        <f aca="false">IF(AND(ISNUMBER(G819),G819&gt;0,ISNUMBER(I819)),I819/G819,"")</f>
        <v/>
      </c>
      <c r="M819" s="10" t="s">
        <v>1240</v>
      </c>
      <c r="N819" s="10" t="s">
        <v>1244</v>
      </c>
      <c r="O819" s="10" t="s">
        <v>1241</v>
      </c>
    </row>
    <row r="820" customFormat="false" ht="15" hidden="false" customHeight="false" outlineLevel="0" collapsed="false">
      <c r="A820" s="10" t="n">
        <v>819</v>
      </c>
      <c r="B820" s="10" t="s">
        <v>1245</v>
      </c>
      <c r="C820" s="10" t="s">
        <v>1237</v>
      </c>
      <c r="D820" s="10" t="s">
        <v>1238</v>
      </c>
      <c r="E820" s="10" t="s">
        <v>1239</v>
      </c>
      <c r="F820" s="10" t="s">
        <v>136</v>
      </c>
      <c r="G820" s="11" t="n">
        <v>291</v>
      </c>
      <c r="H820" s="11"/>
      <c r="I820" s="11"/>
      <c r="J820" s="11"/>
      <c r="K820" s="10" t="str">
        <f aca="false">IF(ISNUMBER(J820),IF(J820&lt;10,"ультра-НЧ",IF(J820&lt;100,"НЧ",IF(J820&lt;=1000,"СЧ","ВЧ"))),IF(ISNUMBER(I820),IF(I820&lt;10,"ультра-НЧ",IF(I820&lt;100,"НЧ",IF(I820&lt;=1000,"СЧ","ВЧ"))),"нет данных"))</f>
        <v>нет данных</v>
      </c>
      <c r="L820" s="12" t="str">
        <f aca="false">IF(AND(ISNUMBER(G820),G820&gt;0,ISNUMBER(I820)),I820/G820,"")</f>
        <v/>
      </c>
      <c r="M820" s="10" t="s">
        <v>1240</v>
      </c>
      <c r="N820" s="10" t="s">
        <v>1245</v>
      </c>
      <c r="O820" s="10" t="s">
        <v>1241</v>
      </c>
    </row>
    <row r="821" customFormat="false" ht="15" hidden="false" customHeight="false" outlineLevel="0" collapsed="false">
      <c r="A821" s="10" t="n">
        <v>820</v>
      </c>
      <c r="B821" s="10" t="s">
        <v>1246</v>
      </c>
      <c r="C821" s="10" t="s">
        <v>1237</v>
      </c>
      <c r="D821" s="10" t="s">
        <v>1238</v>
      </c>
      <c r="E821" s="10" t="s">
        <v>1239</v>
      </c>
      <c r="F821" s="10" t="s">
        <v>136</v>
      </c>
      <c r="G821" s="11" t="n">
        <v>264</v>
      </c>
      <c r="H821" s="11"/>
      <c r="I821" s="11"/>
      <c r="J821" s="11"/>
      <c r="K821" s="10" t="str">
        <f aca="false">IF(ISNUMBER(J821),IF(J821&lt;10,"ультра-НЧ",IF(J821&lt;100,"НЧ",IF(J821&lt;=1000,"СЧ","ВЧ"))),IF(ISNUMBER(I821),IF(I821&lt;10,"ультра-НЧ",IF(I821&lt;100,"НЧ",IF(I821&lt;=1000,"СЧ","ВЧ"))),"нет данных"))</f>
        <v>нет данных</v>
      </c>
      <c r="L821" s="12" t="str">
        <f aca="false">IF(AND(ISNUMBER(G821),G821&gt;0,ISNUMBER(I821)),I821/G821,"")</f>
        <v/>
      </c>
      <c r="M821" s="10" t="s">
        <v>1240</v>
      </c>
      <c r="N821" s="10" t="s">
        <v>1246</v>
      </c>
      <c r="O821" s="10" t="s">
        <v>1241</v>
      </c>
    </row>
    <row r="822" customFormat="false" ht="15" hidden="false" customHeight="false" outlineLevel="0" collapsed="false">
      <c r="A822" s="10" t="n">
        <v>821</v>
      </c>
      <c r="B822" s="10" t="s">
        <v>1247</v>
      </c>
      <c r="C822" s="10" t="s">
        <v>1237</v>
      </c>
      <c r="D822" s="10" t="s">
        <v>1238</v>
      </c>
      <c r="E822" s="10" t="s">
        <v>1239</v>
      </c>
      <c r="F822" s="10" t="s">
        <v>136</v>
      </c>
      <c r="G822" s="11" t="n">
        <v>237</v>
      </c>
      <c r="H822" s="11"/>
      <c r="I822" s="11"/>
      <c r="J822" s="11"/>
      <c r="K822" s="10" t="str">
        <f aca="false">IF(ISNUMBER(J822),IF(J822&lt;10,"ультра-НЧ",IF(J822&lt;100,"НЧ",IF(J822&lt;=1000,"СЧ","ВЧ"))),IF(ISNUMBER(I822),IF(I822&lt;10,"ультра-НЧ",IF(I822&lt;100,"НЧ",IF(I822&lt;=1000,"СЧ","ВЧ"))),"нет данных"))</f>
        <v>нет данных</v>
      </c>
      <c r="L822" s="12" t="str">
        <f aca="false">IF(AND(ISNUMBER(G822),G822&gt;0,ISNUMBER(I822)),I822/G822,"")</f>
        <v/>
      </c>
      <c r="M822" s="10" t="s">
        <v>1240</v>
      </c>
      <c r="N822" s="10" t="s">
        <v>1248</v>
      </c>
      <c r="O822" s="10" t="s">
        <v>1241</v>
      </c>
    </row>
    <row r="823" customFormat="false" ht="15" hidden="false" customHeight="false" outlineLevel="0" collapsed="false">
      <c r="A823" s="10" t="n">
        <v>822</v>
      </c>
      <c r="B823" s="10" t="s">
        <v>1249</v>
      </c>
      <c r="C823" s="10" t="s">
        <v>1237</v>
      </c>
      <c r="D823" s="10" t="s">
        <v>1238</v>
      </c>
      <c r="E823" s="10" t="s">
        <v>1239</v>
      </c>
      <c r="F823" s="10" t="s">
        <v>136</v>
      </c>
      <c r="G823" s="11" t="n">
        <v>216</v>
      </c>
      <c r="H823" s="11"/>
      <c r="I823" s="11"/>
      <c r="J823" s="11"/>
      <c r="K823" s="10" t="str">
        <f aca="false">IF(ISNUMBER(J823),IF(J823&lt;10,"ультра-НЧ",IF(J823&lt;100,"НЧ",IF(J823&lt;=1000,"СЧ","ВЧ"))),IF(ISNUMBER(I823),IF(I823&lt;10,"ультра-НЧ",IF(I823&lt;100,"НЧ",IF(I823&lt;=1000,"СЧ","ВЧ"))),"нет данных"))</f>
        <v>нет данных</v>
      </c>
      <c r="L823" s="12" t="str">
        <f aca="false">IF(AND(ISNUMBER(G823),G823&gt;0,ISNUMBER(I823)),I823/G823,"")</f>
        <v/>
      </c>
      <c r="M823" s="10" t="s">
        <v>1240</v>
      </c>
      <c r="N823" s="10" t="s">
        <v>1249</v>
      </c>
      <c r="O823" s="10" t="s">
        <v>1241</v>
      </c>
    </row>
    <row r="824" customFormat="false" ht="15" hidden="false" customHeight="false" outlineLevel="0" collapsed="false">
      <c r="A824" s="10" t="n">
        <v>823</v>
      </c>
      <c r="B824" s="10" t="s">
        <v>1250</v>
      </c>
      <c r="C824" s="10" t="s">
        <v>1237</v>
      </c>
      <c r="D824" s="10" t="s">
        <v>1238</v>
      </c>
      <c r="E824" s="10" t="s">
        <v>1239</v>
      </c>
      <c r="F824" s="10" t="s">
        <v>136</v>
      </c>
      <c r="G824" s="11" t="n">
        <v>209</v>
      </c>
      <c r="H824" s="11"/>
      <c r="I824" s="11"/>
      <c r="J824" s="11"/>
      <c r="K824" s="10" t="str">
        <f aca="false">IF(ISNUMBER(J824),IF(J824&lt;10,"ультра-НЧ",IF(J824&lt;100,"НЧ",IF(J824&lt;=1000,"СЧ","ВЧ"))),IF(ISNUMBER(I824),IF(I824&lt;10,"ультра-НЧ",IF(I824&lt;100,"НЧ",IF(I824&lt;=1000,"СЧ","ВЧ"))),"нет данных"))</f>
        <v>нет данных</v>
      </c>
      <c r="L824" s="12" t="str">
        <f aca="false">IF(AND(ISNUMBER(G824),G824&gt;0,ISNUMBER(I824)),I824/G824,"")</f>
        <v/>
      </c>
      <c r="M824" s="10" t="s">
        <v>1240</v>
      </c>
      <c r="N824" s="10" t="s">
        <v>1250</v>
      </c>
      <c r="O824" s="10" t="s">
        <v>1241</v>
      </c>
    </row>
    <row r="825" customFormat="false" ht="15" hidden="false" customHeight="false" outlineLevel="0" collapsed="false">
      <c r="A825" s="10" t="n">
        <v>824</v>
      </c>
      <c r="B825" s="10" t="s">
        <v>1251</v>
      </c>
      <c r="C825" s="10" t="s">
        <v>1237</v>
      </c>
      <c r="D825" s="10" t="s">
        <v>1238</v>
      </c>
      <c r="E825" s="10" t="s">
        <v>1239</v>
      </c>
      <c r="F825" s="10" t="s">
        <v>136</v>
      </c>
      <c r="G825" s="11" t="n">
        <v>193</v>
      </c>
      <c r="H825" s="11"/>
      <c r="I825" s="11"/>
      <c r="J825" s="11"/>
      <c r="K825" s="10" t="str">
        <f aca="false">IF(ISNUMBER(J825),IF(J825&lt;10,"ультра-НЧ",IF(J825&lt;100,"НЧ",IF(J825&lt;=1000,"СЧ","ВЧ"))),IF(ISNUMBER(I825),IF(I825&lt;10,"ультра-НЧ",IF(I825&lt;100,"НЧ",IF(I825&lt;=1000,"СЧ","ВЧ"))),"нет данных"))</f>
        <v>нет данных</v>
      </c>
      <c r="L825" s="12" t="str">
        <f aca="false">IF(AND(ISNUMBER(G825),G825&gt;0,ISNUMBER(I825)),I825/G825,"")</f>
        <v/>
      </c>
      <c r="M825" s="10" t="s">
        <v>1240</v>
      </c>
      <c r="N825" s="10" t="s">
        <v>1251</v>
      </c>
      <c r="O825" s="10" t="s">
        <v>1241</v>
      </c>
    </row>
    <row r="826" customFormat="false" ht="15" hidden="false" customHeight="false" outlineLevel="0" collapsed="false">
      <c r="A826" s="10" t="n">
        <v>825</v>
      </c>
      <c r="B826" s="10" t="s">
        <v>1252</v>
      </c>
      <c r="C826" s="10" t="s">
        <v>1237</v>
      </c>
      <c r="D826" s="10" t="s">
        <v>1238</v>
      </c>
      <c r="E826" s="10" t="s">
        <v>1239</v>
      </c>
      <c r="F826" s="10" t="s">
        <v>136</v>
      </c>
      <c r="G826" s="11" t="n">
        <v>183</v>
      </c>
      <c r="H826" s="11"/>
      <c r="I826" s="11"/>
      <c r="J826" s="11"/>
      <c r="K826" s="10" t="str">
        <f aca="false">IF(ISNUMBER(J826),IF(J826&lt;10,"ультра-НЧ",IF(J826&lt;100,"НЧ",IF(J826&lt;=1000,"СЧ","ВЧ"))),IF(ISNUMBER(I826),IF(I826&lt;10,"ультра-НЧ",IF(I826&lt;100,"НЧ",IF(I826&lt;=1000,"СЧ","ВЧ"))),"нет данных"))</f>
        <v>нет данных</v>
      </c>
      <c r="L826" s="12" t="str">
        <f aca="false">IF(AND(ISNUMBER(G826),G826&gt;0,ISNUMBER(I826)),I826/G826,"")</f>
        <v/>
      </c>
      <c r="M826" s="10" t="s">
        <v>1240</v>
      </c>
      <c r="N826" s="10" t="s">
        <v>1252</v>
      </c>
      <c r="O826" s="10" t="s">
        <v>1241</v>
      </c>
    </row>
    <row r="827" customFormat="false" ht="15" hidden="false" customHeight="false" outlineLevel="0" collapsed="false">
      <c r="A827" s="10" t="n">
        <v>826</v>
      </c>
      <c r="B827" s="10" t="s">
        <v>1253</v>
      </c>
      <c r="C827" s="10" t="s">
        <v>1237</v>
      </c>
      <c r="D827" s="10" t="s">
        <v>1238</v>
      </c>
      <c r="E827" s="10" t="s">
        <v>1239</v>
      </c>
      <c r="F827" s="10" t="s">
        <v>136</v>
      </c>
      <c r="G827" s="11" t="n">
        <v>172</v>
      </c>
      <c r="H827" s="11"/>
      <c r="I827" s="11"/>
      <c r="J827" s="11"/>
      <c r="K827" s="10" t="str">
        <f aca="false">IF(ISNUMBER(J827),IF(J827&lt;10,"ультра-НЧ",IF(J827&lt;100,"НЧ",IF(J827&lt;=1000,"СЧ","ВЧ"))),IF(ISNUMBER(I827),IF(I827&lt;10,"ультра-НЧ",IF(I827&lt;100,"НЧ",IF(I827&lt;=1000,"СЧ","ВЧ"))),"нет данных"))</f>
        <v>нет данных</v>
      </c>
      <c r="L827" s="12" t="str">
        <f aca="false">IF(AND(ISNUMBER(G827),G827&gt;0,ISNUMBER(I827)),I827/G827,"")</f>
        <v/>
      </c>
      <c r="M827" s="10" t="s">
        <v>1240</v>
      </c>
      <c r="N827" s="10" t="s">
        <v>1254</v>
      </c>
      <c r="O827" s="10" t="s">
        <v>1241</v>
      </c>
    </row>
    <row r="828" customFormat="false" ht="15" hidden="false" customHeight="false" outlineLevel="0" collapsed="false">
      <c r="A828" s="10" t="n">
        <v>827</v>
      </c>
      <c r="B828" s="10" t="s">
        <v>1255</v>
      </c>
      <c r="C828" s="10" t="s">
        <v>1237</v>
      </c>
      <c r="D828" s="10" t="s">
        <v>1238</v>
      </c>
      <c r="E828" s="10" t="s">
        <v>1239</v>
      </c>
      <c r="F828" s="10" t="s">
        <v>136</v>
      </c>
      <c r="G828" s="11" t="n">
        <v>169</v>
      </c>
      <c r="H828" s="11"/>
      <c r="I828" s="11"/>
      <c r="J828" s="11"/>
      <c r="K828" s="10" t="str">
        <f aca="false">IF(ISNUMBER(J828),IF(J828&lt;10,"ультра-НЧ",IF(J828&lt;100,"НЧ",IF(J828&lt;=1000,"СЧ","ВЧ"))),IF(ISNUMBER(I828),IF(I828&lt;10,"ультра-НЧ",IF(I828&lt;100,"НЧ",IF(I828&lt;=1000,"СЧ","ВЧ"))),"нет данных"))</f>
        <v>нет данных</v>
      </c>
      <c r="L828" s="12" t="str">
        <f aca="false">IF(AND(ISNUMBER(G828),G828&gt;0,ISNUMBER(I828)),I828/G828,"")</f>
        <v/>
      </c>
      <c r="M828" s="10" t="s">
        <v>1240</v>
      </c>
      <c r="N828" s="10" t="s">
        <v>1255</v>
      </c>
      <c r="O828" s="10" t="s">
        <v>1241</v>
      </c>
    </row>
    <row r="829" customFormat="false" ht="15" hidden="false" customHeight="false" outlineLevel="0" collapsed="false">
      <c r="A829" s="10" t="n">
        <v>828</v>
      </c>
      <c r="B829" s="10" t="s">
        <v>1256</v>
      </c>
      <c r="C829" s="10" t="s">
        <v>1237</v>
      </c>
      <c r="D829" s="10" t="s">
        <v>1238</v>
      </c>
      <c r="E829" s="10" t="s">
        <v>1239</v>
      </c>
      <c r="F829" s="10" t="s">
        <v>136</v>
      </c>
      <c r="G829" s="11" t="n">
        <v>165</v>
      </c>
      <c r="H829" s="11"/>
      <c r="I829" s="11"/>
      <c r="J829" s="11"/>
      <c r="K829" s="10" t="str">
        <f aca="false">IF(ISNUMBER(J829),IF(J829&lt;10,"ультра-НЧ",IF(J829&lt;100,"НЧ",IF(J829&lt;=1000,"СЧ","ВЧ"))),IF(ISNUMBER(I829),IF(I829&lt;10,"ультра-НЧ",IF(I829&lt;100,"НЧ",IF(I829&lt;=1000,"СЧ","ВЧ"))),"нет данных"))</f>
        <v>нет данных</v>
      </c>
      <c r="L829" s="12" t="str">
        <f aca="false">IF(AND(ISNUMBER(G829),G829&gt;0,ISNUMBER(I829)),I829/G829,"")</f>
        <v/>
      </c>
      <c r="M829" s="10" t="s">
        <v>1240</v>
      </c>
      <c r="N829" s="10" t="s">
        <v>1256</v>
      </c>
      <c r="O829" s="10" t="s">
        <v>1241</v>
      </c>
    </row>
    <row r="830" customFormat="false" ht="15" hidden="false" customHeight="false" outlineLevel="0" collapsed="false">
      <c r="A830" s="10" t="n">
        <v>829</v>
      </c>
      <c r="B830" s="10" t="s">
        <v>1257</v>
      </c>
      <c r="C830" s="10" t="s">
        <v>1237</v>
      </c>
      <c r="D830" s="10" t="s">
        <v>1238</v>
      </c>
      <c r="E830" s="10" t="s">
        <v>1239</v>
      </c>
      <c r="F830" s="10" t="s">
        <v>136</v>
      </c>
      <c r="G830" s="11" t="n">
        <v>163</v>
      </c>
      <c r="H830" s="11"/>
      <c r="I830" s="11"/>
      <c r="J830" s="11"/>
      <c r="K830" s="10" t="str">
        <f aca="false">IF(ISNUMBER(J830),IF(J830&lt;10,"ультра-НЧ",IF(J830&lt;100,"НЧ",IF(J830&lt;=1000,"СЧ","ВЧ"))),IF(ISNUMBER(I830),IF(I830&lt;10,"ультра-НЧ",IF(I830&lt;100,"НЧ",IF(I830&lt;=1000,"СЧ","ВЧ"))),"нет данных"))</f>
        <v>нет данных</v>
      </c>
      <c r="L830" s="12" t="str">
        <f aca="false">IF(AND(ISNUMBER(G830),G830&gt;0,ISNUMBER(I830)),I830/G830,"")</f>
        <v/>
      </c>
      <c r="M830" s="10" t="s">
        <v>1240</v>
      </c>
      <c r="N830" s="10" t="s">
        <v>1257</v>
      </c>
      <c r="O830" s="10" t="s">
        <v>1241</v>
      </c>
    </row>
    <row r="831" customFormat="false" ht="15" hidden="false" customHeight="false" outlineLevel="0" collapsed="false">
      <c r="A831" s="10" t="n">
        <v>830</v>
      </c>
      <c r="B831" s="10" t="s">
        <v>1258</v>
      </c>
      <c r="C831" s="10" t="s">
        <v>1237</v>
      </c>
      <c r="D831" s="10" t="s">
        <v>1238</v>
      </c>
      <c r="E831" s="10" t="s">
        <v>1239</v>
      </c>
      <c r="F831" s="10" t="s">
        <v>136</v>
      </c>
      <c r="G831" s="11" t="n">
        <v>131</v>
      </c>
      <c r="H831" s="11"/>
      <c r="I831" s="11"/>
      <c r="J831" s="11"/>
      <c r="K831" s="10" t="str">
        <f aca="false">IF(ISNUMBER(J831),IF(J831&lt;10,"ультра-НЧ",IF(J831&lt;100,"НЧ",IF(J831&lt;=1000,"СЧ","ВЧ"))),IF(ISNUMBER(I831),IF(I831&lt;10,"ультра-НЧ",IF(I831&lt;100,"НЧ",IF(I831&lt;=1000,"СЧ","ВЧ"))),"нет данных"))</f>
        <v>нет данных</v>
      </c>
      <c r="L831" s="12" t="str">
        <f aca="false">IF(AND(ISNUMBER(G831),G831&gt;0,ISNUMBER(I831)),I831/G831,"")</f>
        <v/>
      </c>
      <c r="M831" s="10" t="s">
        <v>1240</v>
      </c>
      <c r="N831" s="10" t="s">
        <v>1258</v>
      </c>
      <c r="O831" s="10" t="s">
        <v>1241</v>
      </c>
    </row>
    <row r="832" customFormat="false" ht="15" hidden="false" customHeight="false" outlineLevel="0" collapsed="false">
      <c r="A832" s="10" t="n">
        <v>831</v>
      </c>
      <c r="B832" s="10" t="s">
        <v>1259</v>
      </c>
      <c r="C832" s="10" t="s">
        <v>1237</v>
      </c>
      <c r="D832" s="10" t="s">
        <v>1238</v>
      </c>
      <c r="E832" s="10" t="s">
        <v>1239</v>
      </c>
      <c r="F832" s="10" t="s">
        <v>136</v>
      </c>
      <c r="G832" s="11" t="n">
        <v>123</v>
      </c>
      <c r="H832" s="11"/>
      <c r="I832" s="11"/>
      <c r="J832" s="11"/>
      <c r="K832" s="10" t="str">
        <f aca="false">IF(ISNUMBER(J832),IF(J832&lt;10,"ультра-НЧ",IF(J832&lt;100,"НЧ",IF(J832&lt;=1000,"СЧ","ВЧ"))),IF(ISNUMBER(I832),IF(I832&lt;10,"ультра-НЧ",IF(I832&lt;100,"НЧ",IF(I832&lt;=1000,"СЧ","ВЧ"))),"нет данных"))</f>
        <v>нет данных</v>
      </c>
      <c r="L832" s="12" t="str">
        <f aca="false">IF(AND(ISNUMBER(G832),G832&gt;0,ISNUMBER(I832)),I832/G832,"")</f>
        <v/>
      </c>
      <c r="M832" s="10" t="s">
        <v>1240</v>
      </c>
      <c r="N832" s="10" t="s">
        <v>1259</v>
      </c>
      <c r="O832" s="10" t="s">
        <v>1241</v>
      </c>
    </row>
    <row r="833" customFormat="false" ht="15" hidden="false" customHeight="false" outlineLevel="0" collapsed="false">
      <c r="A833" s="10" t="n">
        <v>832</v>
      </c>
      <c r="B833" s="10" t="s">
        <v>1260</v>
      </c>
      <c r="C833" s="10" t="s">
        <v>1237</v>
      </c>
      <c r="D833" s="10" t="s">
        <v>1238</v>
      </c>
      <c r="E833" s="10" t="s">
        <v>1239</v>
      </c>
      <c r="F833" s="10" t="s">
        <v>136</v>
      </c>
      <c r="G833" s="11" t="n">
        <v>107</v>
      </c>
      <c r="H833" s="11"/>
      <c r="I833" s="11"/>
      <c r="J833" s="11"/>
      <c r="K833" s="10" t="str">
        <f aca="false">IF(ISNUMBER(J833),IF(J833&lt;10,"ультра-НЧ",IF(J833&lt;100,"НЧ",IF(J833&lt;=1000,"СЧ","ВЧ"))),IF(ISNUMBER(I833),IF(I833&lt;10,"ультра-НЧ",IF(I833&lt;100,"НЧ",IF(I833&lt;=1000,"СЧ","ВЧ"))),"нет данных"))</f>
        <v>нет данных</v>
      </c>
      <c r="L833" s="12" t="str">
        <f aca="false">IF(AND(ISNUMBER(G833),G833&gt;0,ISNUMBER(I833)),I833/G833,"")</f>
        <v/>
      </c>
      <c r="M833" s="10" t="s">
        <v>1240</v>
      </c>
      <c r="N833" s="10" t="s">
        <v>1260</v>
      </c>
      <c r="O833" s="10" t="s">
        <v>1241</v>
      </c>
    </row>
    <row r="834" customFormat="false" ht="15" hidden="false" customHeight="false" outlineLevel="0" collapsed="false">
      <c r="A834" s="10" t="n">
        <v>833</v>
      </c>
      <c r="B834" s="10" t="s">
        <v>1261</v>
      </c>
      <c r="C834" s="10" t="s">
        <v>1237</v>
      </c>
      <c r="D834" s="10" t="s">
        <v>1238</v>
      </c>
      <c r="E834" s="10" t="s">
        <v>1239</v>
      </c>
      <c r="F834" s="10" t="s">
        <v>136</v>
      </c>
      <c r="G834" s="11" t="n">
        <v>37</v>
      </c>
      <c r="H834" s="11"/>
      <c r="I834" s="11"/>
      <c r="J834" s="11"/>
      <c r="K834" s="10" t="str">
        <f aca="false">IF(ISNUMBER(J834),IF(J834&lt;10,"ультра-НЧ",IF(J834&lt;100,"НЧ",IF(J834&lt;=1000,"СЧ","ВЧ"))),IF(ISNUMBER(I834),IF(I834&lt;10,"ультра-НЧ",IF(I834&lt;100,"НЧ",IF(I834&lt;=1000,"СЧ","ВЧ"))),"нет данных"))</f>
        <v>нет данных</v>
      </c>
      <c r="L834" s="12" t="str">
        <f aca="false">IF(AND(ISNUMBER(G834),G834&gt;0,ISNUMBER(I834)),I834/G834,"")</f>
        <v/>
      </c>
      <c r="M834" s="10" t="s">
        <v>1240</v>
      </c>
      <c r="N834" s="10" t="s">
        <v>1261</v>
      </c>
      <c r="O834" s="10" t="s">
        <v>1241</v>
      </c>
    </row>
    <row r="835" customFormat="false" ht="15" hidden="false" customHeight="false" outlineLevel="0" collapsed="false">
      <c r="A835" s="10" t="n">
        <v>834</v>
      </c>
      <c r="B835" s="10" t="s">
        <v>1262</v>
      </c>
      <c r="C835" s="10" t="s">
        <v>1237</v>
      </c>
      <c r="D835" s="10" t="s">
        <v>1238</v>
      </c>
      <c r="E835" s="10" t="s">
        <v>1239</v>
      </c>
      <c r="F835" s="10" t="s">
        <v>136</v>
      </c>
      <c r="G835" s="11" t="n">
        <v>37</v>
      </c>
      <c r="H835" s="11"/>
      <c r="I835" s="11"/>
      <c r="J835" s="11"/>
      <c r="K835" s="10" t="str">
        <f aca="false">IF(ISNUMBER(J835),IF(J835&lt;10,"ультра-НЧ",IF(J835&lt;100,"НЧ",IF(J835&lt;=1000,"СЧ","ВЧ"))),IF(ISNUMBER(I835),IF(I835&lt;10,"ультра-НЧ",IF(I835&lt;100,"НЧ",IF(I835&lt;=1000,"СЧ","ВЧ"))),"нет данных"))</f>
        <v>нет данных</v>
      </c>
      <c r="L835" s="12" t="str">
        <f aca="false">IF(AND(ISNUMBER(G835),G835&gt;0,ISNUMBER(I835)),I835/G835,"")</f>
        <v/>
      </c>
      <c r="M835" s="10" t="s">
        <v>1240</v>
      </c>
      <c r="N835" s="10" t="s">
        <v>1263</v>
      </c>
      <c r="O835" s="10" t="s">
        <v>1241</v>
      </c>
    </row>
    <row r="836" customFormat="false" ht="15" hidden="false" customHeight="false" outlineLevel="0" collapsed="false">
      <c r="A836" s="10" t="n">
        <v>835</v>
      </c>
      <c r="B836" s="10" t="s">
        <v>1264</v>
      </c>
      <c r="C836" s="10" t="s">
        <v>1237</v>
      </c>
      <c r="D836" s="10" t="s">
        <v>1238</v>
      </c>
      <c r="E836" s="10" t="s">
        <v>1239</v>
      </c>
      <c r="F836" s="10" t="s">
        <v>136</v>
      </c>
      <c r="G836" s="11" t="n">
        <v>33</v>
      </c>
      <c r="H836" s="11"/>
      <c r="I836" s="11"/>
      <c r="J836" s="11"/>
      <c r="K836" s="10" t="str">
        <f aca="false">IF(ISNUMBER(J836),IF(J836&lt;10,"ультра-НЧ",IF(J836&lt;100,"НЧ",IF(J836&lt;=1000,"СЧ","ВЧ"))),IF(ISNUMBER(I836),IF(I836&lt;10,"ультра-НЧ",IF(I836&lt;100,"НЧ",IF(I836&lt;=1000,"СЧ","ВЧ"))),"нет данных"))</f>
        <v>нет данных</v>
      </c>
      <c r="L836" s="12" t="str">
        <f aca="false">IF(AND(ISNUMBER(G836),G836&gt;0,ISNUMBER(I836)),I836/G836,"")</f>
        <v/>
      </c>
      <c r="M836" s="10" t="s">
        <v>1240</v>
      </c>
      <c r="N836" s="10" t="s">
        <v>1265</v>
      </c>
      <c r="O836" s="10" t="s">
        <v>1241</v>
      </c>
    </row>
    <row r="837" customFormat="false" ht="15" hidden="false" customHeight="false" outlineLevel="0" collapsed="false">
      <c r="A837" s="10" t="n">
        <v>836</v>
      </c>
      <c r="B837" s="10" t="s">
        <v>1266</v>
      </c>
      <c r="C837" s="10" t="s">
        <v>1237</v>
      </c>
      <c r="D837" s="10" t="s">
        <v>1238</v>
      </c>
      <c r="E837" s="10" t="s">
        <v>1239</v>
      </c>
      <c r="F837" s="10" t="s">
        <v>136</v>
      </c>
      <c r="G837" s="11" t="n">
        <v>27</v>
      </c>
      <c r="H837" s="11"/>
      <c r="I837" s="11"/>
      <c r="J837" s="11"/>
      <c r="K837" s="10" t="str">
        <f aca="false">IF(ISNUMBER(J837),IF(J837&lt;10,"ультра-НЧ",IF(J837&lt;100,"НЧ",IF(J837&lt;=1000,"СЧ","ВЧ"))),IF(ISNUMBER(I837),IF(I837&lt;10,"ультра-НЧ",IF(I837&lt;100,"НЧ",IF(I837&lt;=1000,"СЧ","ВЧ"))),"нет данных"))</f>
        <v>нет данных</v>
      </c>
      <c r="L837" s="12" t="str">
        <f aca="false">IF(AND(ISNUMBER(G837),G837&gt;0,ISNUMBER(I837)),I837/G837,"")</f>
        <v/>
      </c>
      <c r="M837" s="10" t="s">
        <v>1240</v>
      </c>
      <c r="N837" s="10" t="s">
        <v>1267</v>
      </c>
      <c r="O837" s="10" t="s">
        <v>1241</v>
      </c>
    </row>
    <row r="838" customFormat="false" ht="15" hidden="false" customHeight="false" outlineLevel="0" collapsed="false">
      <c r="A838" s="10" t="n">
        <v>837</v>
      </c>
      <c r="B838" s="10" t="s">
        <v>1268</v>
      </c>
      <c r="C838" s="10" t="s">
        <v>1237</v>
      </c>
      <c r="D838" s="10" t="s">
        <v>1238</v>
      </c>
      <c r="E838" s="10" t="s">
        <v>1239</v>
      </c>
      <c r="F838" s="10" t="s">
        <v>136</v>
      </c>
      <c r="G838" s="11" t="n">
        <v>22</v>
      </c>
      <c r="H838" s="11"/>
      <c r="I838" s="11"/>
      <c r="J838" s="11"/>
      <c r="K838" s="10" t="str">
        <f aca="false">IF(ISNUMBER(J838),IF(J838&lt;10,"ультра-НЧ",IF(J838&lt;100,"НЧ",IF(J838&lt;=1000,"СЧ","ВЧ"))),IF(ISNUMBER(I838),IF(I838&lt;10,"ультра-НЧ",IF(I838&lt;100,"НЧ",IF(I838&lt;=1000,"СЧ","ВЧ"))),"нет данных"))</f>
        <v>нет данных</v>
      </c>
      <c r="L838" s="12" t="str">
        <f aca="false">IF(AND(ISNUMBER(G838),G838&gt;0,ISNUMBER(I838)),I838/G838,"")</f>
        <v/>
      </c>
      <c r="M838" s="10" t="s">
        <v>1240</v>
      </c>
      <c r="N838" s="10" t="s">
        <v>1268</v>
      </c>
      <c r="O838" s="10" t="s">
        <v>1241</v>
      </c>
    </row>
    <row r="839" customFormat="false" ht="15" hidden="false" customHeight="false" outlineLevel="0" collapsed="false">
      <c r="A839" s="10" t="n">
        <v>838</v>
      </c>
      <c r="B839" s="10" t="s">
        <v>1269</v>
      </c>
      <c r="C839" s="10" t="s">
        <v>1237</v>
      </c>
      <c r="D839" s="10" t="s">
        <v>1238</v>
      </c>
      <c r="E839" s="10" t="s">
        <v>1239</v>
      </c>
      <c r="F839" s="10" t="s">
        <v>136</v>
      </c>
      <c r="G839" s="11" t="n">
        <v>21</v>
      </c>
      <c r="H839" s="11"/>
      <c r="I839" s="11"/>
      <c r="J839" s="11"/>
      <c r="K839" s="10" t="str">
        <f aca="false">IF(ISNUMBER(J839),IF(J839&lt;10,"ультра-НЧ",IF(J839&lt;100,"НЧ",IF(J839&lt;=1000,"СЧ","ВЧ"))),IF(ISNUMBER(I839),IF(I839&lt;10,"ультра-НЧ",IF(I839&lt;100,"НЧ",IF(I839&lt;=1000,"СЧ","ВЧ"))),"нет данных"))</f>
        <v>нет данных</v>
      </c>
      <c r="L839" s="12" t="str">
        <f aca="false">IF(AND(ISNUMBER(G839),G839&gt;0,ISNUMBER(I839)),I839/G839,"")</f>
        <v/>
      </c>
      <c r="M839" s="10" t="s">
        <v>1240</v>
      </c>
      <c r="N839" s="10" t="s">
        <v>1270</v>
      </c>
      <c r="O839" s="10" t="s">
        <v>1241</v>
      </c>
    </row>
    <row r="840" customFormat="false" ht="15" hidden="false" customHeight="false" outlineLevel="0" collapsed="false">
      <c r="A840" s="10" t="n">
        <v>839</v>
      </c>
      <c r="B840" s="10" t="s">
        <v>1271</v>
      </c>
      <c r="C840" s="10" t="s">
        <v>1237</v>
      </c>
      <c r="D840" s="10" t="s">
        <v>1238</v>
      </c>
      <c r="E840" s="10" t="s">
        <v>1239</v>
      </c>
      <c r="F840" s="10" t="s">
        <v>136</v>
      </c>
      <c r="G840" s="11" t="n">
        <v>20</v>
      </c>
      <c r="H840" s="11"/>
      <c r="I840" s="11"/>
      <c r="J840" s="11"/>
      <c r="K840" s="10" t="str">
        <f aca="false">IF(ISNUMBER(J840),IF(J840&lt;10,"ультра-НЧ",IF(J840&lt;100,"НЧ",IF(J840&lt;=1000,"СЧ","ВЧ"))),IF(ISNUMBER(I840),IF(I840&lt;10,"ультра-НЧ",IF(I840&lt;100,"НЧ",IF(I840&lt;=1000,"СЧ","ВЧ"))),"нет данных"))</f>
        <v>нет данных</v>
      </c>
      <c r="L840" s="12" t="str">
        <f aca="false">IF(AND(ISNUMBER(G840),G840&gt;0,ISNUMBER(I840)),I840/G840,"")</f>
        <v/>
      </c>
      <c r="M840" s="10" t="s">
        <v>1240</v>
      </c>
      <c r="N840" s="10" t="s">
        <v>1272</v>
      </c>
      <c r="O840" s="10" t="s">
        <v>1241</v>
      </c>
    </row>
  </sheetData>
  <autoFilter ref="A1:O8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6"/>
    <col collapsed="false" customWidth="true" hidden="false" outlineLevel="0" max="3" min="3" style="0" width="8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56"/>
    <col collapsed="false" customWidth="true" hidden="false" outlineLevel="0" max="10" min="10" style="0" width="52"/>
  </cols>
  <sheetData>
    <row r="1" customFormat="false" ht="31.5" hidden="false" customHeight="true" outlineLevel="0" collapsed="false">
      <c r="A1" s="9" t="s">
        <v>76</v>
      </c>
      <c r="B1" s="9" t="s">
        <v>77</v>
      </c>
      <c r="C1" s="9" t="s">
        <v>1273</v>
      </c>
      <c r="D1" s="9" t="s">
        <v>1274</v>
      </c>
      <c r="E1" s="9" t="s">
        <v>1275</v>
      </c>
      <c r="F1" s="9" t="s">
        <v>1276</v>
      </c>
      <c r="G1" s="9" t="s">
        <v>1277</v>
      </c>
      <c r="H1" s="9" t="s">
        <v>1278</v>
      </c>
      <c r="I1" s="9" t="s">
        <v>1279</v>
      </c>
      <c r="J1" s="9" t="s">
        <v>1280</v>
      </c>
    </row>
    <row r="2" customFormat="false" ht="23.85" hidden="false" customHeight="false" outlineLevel="0" collapsed="false">
      <c r="A2" s="4" t="s">
        <v>90</v>
      </c>
      <c r="B2" s="4" t="s">
        <v>91</v>
      </c>
      <c r="C2" s="4" t="n">
        <f aca="false">COUNTIF('Семантическое ядро'!$C$2:$C$840,A2)</f>
        <v>222</v>
      </c>
      <c r="D2" s="5" t="n">
        <f aca="false">_xlfn.MAXIFS('Семантическое ядро'!$G$2:$G$840,'Семантическое ядро'!$C$2:$C$840,A2)</f>
        <v>299533</v>
      </c>
      <c r="E2" s="5" t="n">
        <f aca="false">SUMIFS('Семантическое ядро'!$J$2:$J$840,'Семантическое ядро'!$C$2:$C$840,A2)</f>
        <v>118</v>
      </c>
      <c r="F2" s="4" t="n">
        <f aca="false">COUNTIFS('Семантическое ядро'!$C$2:$C$840,A2,'Семантическое ядро'!$J$2:$J$840,"&gt;=0")</f>
        <v>35</v>
      </c>
      <c r="G2" s="13" t="n">
        <f aca="false">IF(C2&gt;0,H2/C2,"")</f>
        <v>0.0495495495495496</v>
      </c>
      <c r="H2" s="4" t="n">
        <f aca="false">COUNTIFS('Семантическое ядро'!$C$2:$C$840,A2,'Семантическое ядро'!$M$2:$M$840,"A")</f>
        <v>11</v>
      </c>
      <c r="I2" s="4" t="s">
        <v>1281</v>
      </c>
      <c r="J2" s="4"/>
    </row>
    <row r="3" customFormat="false" ht="15" hidden="false" customHeight="false" outlineLevel="0" collapsed="false">
      <c r="A3" s="4" t="s">
        <v>381</v>
      </c>
      <c r="B3" s="4" t="s">
        <v>382</v>
      </c>
      <c r="C3" s="4" t="n">
        <f aca="false">COUNTIF('Семантическое ядро'!$C$2:$C$840,A3)</f>
        <v>18</v>
      </c>
      <c r="D3" s="5" t="n">
        <f aca="false">_xlfn.MAXIFS('Семантическое ядро'!$G$2:$G$840,'Семантическое ядро'!$C$2:$C$840,A3)</f>
        <v>685</v>
      </c>
      <c r="E3" s="5" t="n">
        <f aca="false">SUMIFS('Семантическое ядро'!$J$2:$J$840,'Семантическое ядро'!$C$2:$C$840,A3)</f>
        <v>0</v>
      </c>
      <c r="F3" s="4" t="n">
        <f aca="false">COUNTIFS('Семантическое ядро'!$C$2:$C$840,A3,'Семантическое ядро'!$J$2:$J$840,"&gt;=0")</f>
        <v>9</v>
      </c>
      <c r="G3" s="13" t="n">
        <f aca="false">IF(C3&gt;0,H3/C3,"")</f>
        <v>0</v>
      </c>
      <c r="H3" s="4" t="n">
        <f aca="false">COUNTIFS('Семантическое ядро'!$C$2:$C$840,A3,'Семантическое ядро'!$M$2:$M$840,"A")</f>
        <v>0</v>
      </c>
      <c r="I3" s="4" t="s">
        <v>1282</v>
      </c>
      <c r="J3" s="4"/>
    </row>
    <row r="4" customFormat="false" ht="15" hidden="false" customHeight="false" outlineLevel="0" collapsed="false">
      <c r="A4" s="4" t="s">
        <v>406</v>
      </c>
      <c r="B4" s="4" t="s">
        <v>382</v>
      </c>
      <c r="C4" s="4" t="n">
        <f aca="false">COUNTIF('Семантическое ядро'!$C$2:$C$840,A4)</f>
        <v>12</v>
      </c>
      <c r="D4" s="5" t="n">
        <f aca="false">_xlfn.MAXIFS('Семантическое ядро'!$G$2:$G$840,'Семантическое ядро'!$C$2:$C$840,A4)</f>
        <v>89</v>
      </c>
      <c r="E4" s="5" t="n">
        <f aca="false">SUMIFS('Семантическое ядро'!$J$2:$J$840,'Семантическое ядро'!$C$2:$C$840,A4)</f>
        <v>0</v>
      </c>
      <c r="F4" s="4" t="n">
        <f aca="false">COUNTIFS('Семантическое ядро'!$C$2:$C$840,A4,'Семантическое ядро'!$J$2:$J$840,"&gt;=0")</f>
        <v>10</v>
      </c>
      <c r="G4" s="13" t="n">
        <f aca="false">IF(C4&gt;0,H4/C4,"")</f>
        <v>0</v>
      </c>
      <c r="H4" s="4" t="n">
        <f aca="false">COUNTIFS('Семантическое ядро'!$C$2:$C$840,A4,'Семантическое ядро'!$M$2:$M$840,"A")</f>
        <v>0</v>
      </c>
      <c r="I4" s="4" t="s">
        <v>1283</v>
      </c>
      <c r="J4" s="4"/>
    </row>
    <row r="5" customFormat="false" ht="15" hidden="false" customHeight="false" outlineLevel="0" collapsed="false">
      <c r="A5" s="4" t="s">
        <v>431</v>
      </c>
      <c r="B5" s="4" t="s">
        <v>432</v>
      </c>
      <c r="C5" s="4" t="n">
        <f aca="false">COUNTIF('Семантическое ядро'!$C$2:$C$840,A5)</f>
        <v>14</v>
      </c>
      <c r="D5" s="5" t="n">
        <f aca="false">_xlfn.MAXIFS('Семантическое ядро'!$G$2:$G$840,'Семантическое ядро'!$C$2:$C$840,A5)</f>
        <v>177</v>
      </c>
      <c r="E5" s="5" t="n">
        <f aca="false">SUMIFS('Семантическое ядро'!$J$2:$J$840,'Семантическое ядро'!$C$2:$C$840,A5)</f>
        <v>1</v>
      </c>
      <c r="F5" s="4" t="n">
        <f aca="false">COUNTIFS('Семантическое ядро'!$C$2:$C$840,A5,'Семантическое ядро'!$J$2:$J$840,"&gt;=0")</f>
        <v>11</v>
      </c>
      <c r="G5" s="13" t="n">
        <f aca="false">IF(C5&gt;0,H5/C5,"")</f>
        <v>0</v>
      </c>
      <c r="H5" s="4" t="n">
        <f aca="false">COUNTIFS('Семантическое ядро'!$C$2:$C$840,A5,'Семантическое ядро'!$M$2:$M$840,"A")</f>
        <v>0</v>
      </c>
      <c r="I5" s="4" t="s">
        <v>1284</v>
      </c>
      <c r="J5" s="4"/>
    </row>
    <row r="6" customFormat="false" ht="15" hidden="false" customHeight="false" outlineLevel="0" collapsed="false">
      <c r="A6" s="4" t="s">
        <v>454</v>
      </c>
      <c r="B6" s="4" t="s">
        <v>455</v>
      </c>
      <c r="C6" s="4" t="n">
        <f aca="false">COUNTIF('Семантическое ядро'!$C$2:$C$840,A6)</f>
        <v>11</v>
      </c>
      <c r="D6" s="5" t="n">
        <f aca="false">_xlfn.MAXIFS('Семантическое ядро'!$G$2:$G$840,'Семантическое ядро'!$C$2:$C$840,A6)</f>
        <v>662</v>
      </c>
      <c r="E6" s="5" t="n">
        <f aca="false">SUMIFS('Семантическое ядро'!$J$2:$J$840,'Семантическое ядро'!$C$2:$C$840,A6)</f>
        <v>2</v>
      </c>
      <c r="F6" s="4" t="n">
        <f aca="false">COUNTIFS('Семантическое ядро'!$C$2:$C$840,A6,'Семантическое ядро'!$J$2:$J$840,"&gt;=0")</f>
        <v>9</v>
      </c>
      <c r="G6" s="13" t="n">
        <f aca="false">IF(C6&gt;0,H6/C6,"")</f>
        <v>0</v>
      </c>
      <c r="H6" s="4" t="n">
        <f aca="false">COUNTIFS('Семантическое ядро'!$C$2:$C$840,A6,'Семантическое ядро'!$M$2:$M$840,"A")</f>
        <v>0</v>
      </c>
      <c r="I6" s="4" t="s">
        <v>1285</v>
      </c>
      <c r="J6" s="4"/>
    </row>
    <row r="7" customFormat="false" ht="15" hidden="false" customHeight="false" outlineLevel="0" collapsed="false">
      <c r="A7" s="4" t="s">
        <v>470</v>
      </c>
      <c r="B7" s="4" t="s">
        <v>471</v>
      </c>
      <c r="C7" s="4" t="n">
        <f aca="false">COUNTIF('Семантическое ядро'!$C$2:$C$840,A7)</f>
        <v>8</v>
      </c>
      <c r="D7" s="5" t="n">
        <f aca="false">_xlfn.MAXIFS('Семантическое ядро'!$G$2:$G$840,'Семантическое ядро'!$C$2:$C$840,A7)</f>
        <v>126</v>
      </c>
      <c r="E7" s="5" t="n">
        <f aca="false">SUMIFS('Семантическое ядро'!$J$2:$J$840,'Семантическое ядро'!$C$2:$C$840,A7)</f>
        <v>0</v>
      </c>
      <c r="F7" s="4" t="n">
        <f aca="false">COUNTIFS('Семантическое ядро'!$C$2:$C$840,A7,'Семантическое ядро'!$J$2:$J$840,"&gt;=0")</f>
        <v>5</v>
      </c>
      <c r="G7" s="13" t="n">
        <f aca="false">IF(C7&gt;0,H7/C7,"")</f>
        <v>0</v>
      </c>
      <c r="H7" s="4" t="n">
        <f aca="false">COUNTIFS('Семантическое ядро'!$C$2:$C$840,A7,'Семантическое ядро'!$M$2:$M$840,"A")</f>
        <v>0</v>
      </c>
      <c r="I7" s="4" t="s">
        <v>1286</v>
      </c>
      <c r="J7" s="4"/>
    </row>
    <row r="8" customFormat="false" ht="15" hidden="false" customHeight="false" outlineLevel="0" collapsed="false">
      <c r="A8" s="4" t="s">
        <v>486</v>
      </c>
      <c r="B8" s="4" t="s">
        <v>487</v>
      </c>
      <c r="C8" s="4" t="n">
        <f aca="false">COUNTIF('Семантическое ядро'!$C$2:$C$840,A8)</f>
        <v>23</v>
      </c>
      <c r="D8" s="5" t="n">
        <f aca="false">_xlfn.MAXIFS('Семантическое ядро'!$G$2:$G$840,'Семантическое ядро'!$C$2:$C$840,A8)</f>
        <v>761</v>
      </c>
      <c r="E8" s="5" t="n">
        <f aca="false">SUMIFS('Семантическое ядро'!$J$2:$J$840,'Семантическое ядро'!$C$2:$C$840,A8)</f>
        <v>1</v>
      </c>
      <c r="F8" s="4" t="n">
        <f aca="false">COUNTIFS('Семантическое ядро'!$C$2:$C$840,A8,'Семантическое ядро'!$J$2:$J$840,"&gt;=0")</f>
        <v>16</v>
      </c>
      <c r="G8" s="13" t="n">
        <f aca="false">IF(C8&gt;0,H8/C8,"")</f>
        <v>0</v>
      </c>
      <c r="H8" s="4" t="n">
        <f aca="false">COUNTIFS('Семантическое ядро'!$C$2:$C$840,A8,'Семантическое ядро'!$M$2:$M$840,"A")</f>
        <v>0</v>
      </c>
      <c r="I8" s="4" t="s">
        <v>1287</v>
      </c>
      <c r="J8" s="4" t="s">
        <v>1288</v>
      </c>
    </row>
    <row r="9" customFormat="false" ht="15" hidden="false" customHeight="false" outlineLevel="0" collapsed="false">
      <c r="A9" s="4" t="s">
        <v>522</v>
      </c>
      <c r="B9" s="4" t="s">
        <v>523</v>
      </c>
      <c r="C9" s="4" t="n">
        <f aca="false">COUNTIF('Семантическое ядро'!$C$2:$C$840,A9)</f>
        <v>247</v>
      </c>
      <c r="D9" s="5" t="n">
        <f aca="false">_xlfn.MAXIFS('Семантическое ядро'!$G$2:$G$840,'Семантическое ядро'!$C$2:$C$840,A9)</f>
        <v>12793</v>
      </c>
      <c r="E9" s="5" t="n">
        <f aca="false">SUMIFS('Семантическое ядро'!$J$2:$J$840,'Семантическое ядро'!$C$2:$C$840,A9)</f>
        <v>3</v>
      </c>
      <c r="F9" s="4" t="n">
        <f aca="false">COUNTIFS('Семантическое ядро'!$C$2:$C$840,A9,'Семантическое ядро'!$J$2:$J$840,"&gt;=0")</f>
        <v>18</v>
      </c>
      <c r="G9" s="13" t="n">
        <f aca="false">IF(C9&gt;0,H9/C9,"")</f>
        <v>0</v>
      </c>
      <c r="H9" s="4" t="n">
        <f aca="false">COUNTIFS('Семантическое ядро'!$C$2:$C$840,A9,'Семантическое ядро'!$M$2:$M$840,"A")</f>
        <v>0</v>
      </c>
      <c r="I9" s="4" t="s">
        <v>1289</v>
      </c>
      <c r="J9" s="4"/>
    </row>
    <row r="10" customFormat="false" ht="15" hidden="false" customHeight="false" outlineLevel="0" collapsed="false">
      <c r="A10" s="4" t="s">
        <v>822</v>
      </c>
      <c r="B10" s="4" t="s">
        <v>823</v>
      </c>
      <c r="C10" s="4" t="n">
        <f aca="false">COUNTIF('Семантическое ядро'!$C$2:$C$840,A10)</f>
        <v>62</v>
      </c>
      <c r="D10" s="5" t="n">
        <f aca="false">_xlfn.MAXIFS('Семантическое ядро'!$G$2:$G$840,'Семантическое ядро'!$C$2:$C$840,A10)</f>
        <v>9101</v>
      </c>
      <c r="E10" s="5" t="n">
        <f aca="false">SUMIFS('Семантическое ядро'!$J$2:$J$840,'Семантическое ядро'!$C$2:$C$840,A10)</f>
        <v>29</v>
      </c>
      <c r="F10" s="4" t="n">
        <f aca="false">COUNTIFS('Семантическое ядро'!$C$2:$C$840,A10,'Семантическое ядро'!$J$2:$J$840,"&gt;=0")</f>
        <v>7</v>
      </c>
      <c r="G10" s="13" t="n">
        <f aca="false">IF(C10&gt;0,H10/C10,"")</f>
        <v>0.032258064516129</v>
      </c>
      <c r="H10" s="4" t="n">
        <f aca="false">COUNTIFS('Семантическое ядро'!$C$2:$C$840,A10,'Семантическое ядро'!$M$2:$M$840,"A")</f>
        <v>2</v>
      </c>
      <c r="I10" s="4" t="s">
        <v>1290</v>
      </c>
      <c r="J10" s="4" t="s">
        <v>1291</v>
      </c>
    </row>
    <row r="11" customFormat="false" ht="15" hidden="false" customHeight="false" outlineLevel="0" collapsed="false">
      <c r="A11" s="4" t="s">
        <v>907</v>
      </c>
      <c r="B11" s="4" t="s">
        <v>908</v>
      </c>
      <c r="C11" s="4" t="n">
        <f aca="false">COUNTIF('Семантическое ядро'!$C$2:$C$840,A11)</f>
        <v>19</v>
      </c>
      <c r="D11" s="5" t="n">
        <f aca="false">_xlfn.MAXIFS('Семантическое ядро'!$G$2:$G$840,'Семантическое ядро'!$C$2:$C$840,A11)</f>
        <v>26051</v>
      </c>
      <c r="E11" s="5" t="n">
        <f aca="false">SUMIFS('Семантическое ядро'!$J$2:$J$840,'Семантическое ядро'!$C$2:$C$840,A11)</f>
        <v>135</v>
      </c>
      <c r="F11" s="4" t="n">
        <f aca="false">COUNTIFS('Семантическое ядро'!$C$2:$C$840,A11,'Семантическое ядро'!$J$2:$J$840,"&gt;=0")</f>
        <v>8</v>
      </c>
      <c r="G11" s="13" t="n">
        <f aca="false">IF(C11&gt;0,H11/C11,"")</f>
        <v>0.210526315789474</v>
      </c>
      <c r="H11" s="4" t="n">
        <f aca="false">COUNTIFS('Семантическое ядро'!$C$2:$C$840,A11,'Семантическое ядро'!$M$2:$M$840,"A")</f>
        <v>4</v>
      </c>
      <c r="I11" s="4" t="s">
        <v>1292</v>
      </c>
      <c r="J11" s="4" t="s">
        <v>1293</v>
      </c>
    </row>
    <row r="12" customFormat="false" ht="15" hidden="false" customHeight="false" outlineLevel="0" collapsed="false">
      <c r="A12" s="4" t="s">
        <v>944</v>
      </c>
      <c r="B12" s="4" t="s">
        <v>945</v>
      </c>
      <c r="C12" s="4" t="n">
        <f aca="false">COUNTIF('Семантическое ядро'!$C$2:$C$840,A12)</f>
        <v>54</v>
      </c>
      <c r="D12" s="5" t="n">
        <f aca="false">_xlfn.MAXIFS('Семантическое ядро'!$G$2:$G$840,'Семантическое ядро'!$C$2:$C$840,A12)</f>
        <v>5040</v>
      </c>
      <c r="E12" s="5" t="n">
        <f aca="false">SUMIFS('Семантическое ядро'!$J$2:$J$840,'Семантическое ядро'!$C$2:$C$840,A12)</f>
        <v>1</v>
      </c>
      <c r="F12" s="4" t="n">
        <f aca="false">COUNTIFS('Семантическое ядро'!$C$2:$C$840,A12,'Семантическое ядро'!$J$2:$J$840,"&gt;=0")</f>
        <v>9</v>
      </c>
      <c r="G12" s="13" t="n">
        <f aca="false">IF(C12&gt;0,H12/C12,"")</f>
        <v>0</v>
      </c>
      <c r="H12" s="4" t="n">
        <f aca="false">COUNTIFS('Семантическое ядро'!$C$2:$C$840,A12,'Семантическое ядро'!$M$2:$M$840,"A")</f>
        <v>0</v>
      </c>
      <c r="I12" s="4" t="s">
        <v>1294</v>
      </c>
      <c r="J12" s="4" t="s">
        <v>1295</v>
      </c>
    </row>
    <row r="13" customFormat="false" ht="15" hidden="false" customHeight="false" outlineLevel="0" collapsed="false">
      <c r="A13" s="4" t="s">
        <v>1053</v>
      </c>
      <c r="B13" s="4" t="s">
        <v>1054</v>
      </c>
      <c r="C13" s="4" t="n">
        <f aca="false">COUNTIF('Семантическое ядро'!$C$2:$C$840,A13)</f>
        <v>31</v>
      </c>
      <c r="D13" s="5" t="n">
        <f aca="false">_xlfn.MAXIFS('Семантическое ядро'!$G$2:$G$840,'Семантическое ядро'!$C$2:$C$840,A13)</f>
        <v>5951</v>
      </c>
      <c r="E13" s="5" t="n">
        <f aca="false">SUMIFS('Семантическое ядро'!$J$2:$J$840,'Семантическое ядро'!$C$2:$C$840,A13)</f>
        <v>5</v>
      </c>
      <c r="F13" s="4" t="n">
        <f aca="false">COUNTIFS('Семантическое ядро'!$C$2:$C$840,A13,'Семантическое ядро'!$J$2:$J$840,"&gt;=0")</f>
        <v>8</v>
      </c>
      <c r="G13" s="13" t="n">
        <f aca="false">IF(C13&gt;0,H13/C13,"")</f>
        <v>0</v>
      </c>
      <c r="H13" s="4" t="n">
        <f aca="false">COUNTIFS('Семантическое ядро'!$C$2:$C$840,A13,'Семантическое ядро'!$M$2:$M$840,"A")</f>
        <v>0</v>
      </c>
      <c r="I13" s="4" t="s">
        <v>1296</v>
      </c>
      <c r="J13" s="4" t="s">
        <v>1297</v>
      </c>
    </row>
    <row r="14" customFormat="false" ht="15" hidden="false" customHeight="false" outlineLevel="0" collapsed="false">
      <c r="A14" s="4" t="s">
        <v>1105</v>
      </c>
      <c r="B14" s="4" t="s">
        <v>1106</v>
      </c>
      <c r="C14" s="4" t="n">
        <f aca="false">COUNTIF('Семантическое ядро'!$C$2:$C$840,A14)</f>
        <v>53</v>
      </c>
      <c r="D14" s="5" t="n">
        <f aca="false">_xlfn.MAXIFS('Семантическое ядро'!$G$2:$G$840,'Семантическое ядро'!$C$2:$C$840,A14)</f>
        <v>835</v>
      </c>
      <c r="E14" s="5" t="n">
        <f aca="false">SUMIFS('Семантическое ядро'!$J$2:$J$840,'Семантическое ядро'!$C$2:$C$840,A14)</f>
        <v>1</v>
      </c>
      <c r="F14" s="4" t="n">
        <f aca="false">COUNTIFS('Семантическое ядро'!$C$2:$C$840,A14,'Семантическое ядро'!$J$2:$J$840,"&gt;=0")</f>
        <v>8</v>
      </c>
      <c r="G14" s="13" t="n">
        <f aca="false">IF(C14&gt;0,H14/C14,"")</f>
        <v>0</v>
      </c>
      <c r="H14" s="4" t="n">
        <f aca="false">COUNTIFS('Семантическое ядро'!$C$2:$C$840,A14,'Семантическое ядро'!$M$2:$M$840,"A")</f>
        <v>0</v>
      </c>
      <c r="I14" s="4" t="s">
        <v>1298</v>
      </c>
      <c r="J14" s="4"/>
    </row>
    <row r="15" customFormat="false" ht="15" hidden="false" customHeight="false" outlineLevel="0" collapsed="false">
      <c r="A15" s="4" t="s">
        <v>1169</v>
      </c>
      <c r="B15" s="4" t="s">
        <v>1170</v>
      </c>
      <c r="C15" s="4" t="n">
        <f aca="false">COUNTIF('Семантическое ядро'!$C$2:$C$840,A15)</f>
        <v>18</v>
      </c>
      <c r="D15" s="5" t="n">
        <f aca="false">_xlfn.MAXIFS('Семантическое ядро'!$G$2:$G$840,'Семантическое ядро'!$C$2:$C$840,A15)</f>
        <v>940</v>
      </c>
      <c r="E15" s="5" t="n">
        <f aca="false">SUMIFS('Семантическое ядро'!$J$2:$J$840,'Семантическое ядро'!$C$2:$C$840,A15)</f>
        <v>0</v>
      </c>
      <c r="F15" s="4" t="n">
        <f aca="false">COUNTIFS('Семантическое ядро'!$C$2:$C$840,A15,'Семантическое ядро'!$J$2:$J$840,"&gt;=0")</f>
        <v>7</v>
      </c>
      <c r="G15" s="13" t="n">
        <f aca="false">IF(C15&gt;0,H15/C15,"")</f>
        <v>0</v>
      </c>
      <c r="H15" s="4" t="n">
        <f aca="false">COUNTIFS('Семантическое ядро'!$C$2:$C$840,A15,'Семантическое ядро'!$M$2:$M$840,"A")</f>
        <v>0</v>
      </c>
      <c r="I15" s="4" t="s">
        <v>1299</v>
      </c>
      <c r="J15" s="4"/>
    </row>
    <row r="16" customFormat="false" ht="23.85" hidden="false" customHeight="false" outlineLevel="0" collapsed="false">
      <c r="A16" s="4" t="s">
        <v>1194</v>
      </c>
      <c r="B16" s="4" t="s">
        <v>1195</v>
      </c>
      <c r="C16" s="4" t="n">
        <f aca="false">COUNTIF('Семантическое ядро'!$C$2:$C$840,A16)</f>
        <v>8</v>
      </c>
      <c r="D16" s="5" t="n">
        <f aca="false">_xlfn.MAXIFS('Семантическое ядро'!$G$2:$G$840,'Семантическое ядро'!$C$2:$C$840,A16)</f>
        <v>9143</v>
      </c>
      <c r="E16" s="5" t="n">
        <f aca="false">SUMIFS('Семантическое ядро'!$J$2:$J$840,'Семантическое ядро'!$C$2:$C$840,A16)</f>
        <v>7</v>
      </c>
      <c r="F16" s="4" t="n">
        <f aca="false">COUNTIFS('Семантическое ядро'!$C$2:$C$840,A16,'Семантическое ядро'!$J$2:$J$840,"&gt;=0")</f>
        <v>6</v>
      </c>
      <c r="G16" s="13" t="n">
        <f aca="false">IF(C16&gt;0,H16/C16,"")</f>
        <v>0</v>
      </c>
      <c r="H16" s="4" t="n">
        <f aca="false">COUNTIFS('Семантическое ядро'!$C$2:$C$840,A16,'Семантическое ядро'!$M$2:$M$840,"A")</f>
        <v>0</v>
      </c>
      <c r="I16" s="4" t="s">
        <v>1211</v>
      </c>
      <c r="J16" s="4"/>
    </row>
    <row r="17" customFormat="false" ht="15" hidden="false" customHeight="false" outlineLevel="0" collapsed="false">
      <c r="A17" s="4" t="s">
        <v>1207</v>
      </c>
      <c r="B17" s="4" t="s">
        <v>1208</v>
      </c>
      <c r="C17" s="4" t="n">
        <f aca="false">COUNTIF('Семантическое ядро'!$C$2:$C$840,A17)</f>
        <v>14</v>
      </c>
      <c r="D17" s="5" t="n">
        <f aca="false">_xlfn.MAXIFS('Семантическое ядро'!$G$2:$G$840,'Семантическое ядро'!$C$2:$C$840,A17)</f>
        <v>577488</v>
      </c>
      <c r="E17" s="5" t="n">
        <f aca="false">SUMIFS('Семантическое ядро'!$J$2:$J$840,'Семантическое ядро'!$C$2:$C$840,A17)</f>
        <v>662</v>
      </c>
      <c r="F17" s="4" t="n">
        <f aca="false">COUNTIFS('Семантическое ядро'!$C$2:$C$840,A17,'Семантическое ядро'!$J$2:$J$840,"&gt;=0")</f>
        <v>14</v>
      </c>
      <c r="G17" s="13" t="n">
        <f aca="false">IF(C17&gt;0,H17/C17,"")</f>
        <v>0</v>
      </c>
      <c r="H17" s="4" t="n">
        <f aca="false">COUNTIFS('Семантическое ядро'!$C$2:$C$840,A17,'Семантическое ядро'!$M$2:$M$840,"A")</f>
        <v>0</v>
      </c>
      <c r="I17" s="4" t="s">
        <v>1211</v>
      </c>
      <c r="J17" s="4"/>
    </row>
    <row r="18" customFormat="false" ht="23.85" hidden="false" customHeight="false" outlineLevel="0" collapsed="false">
      <c r="A18" s="4" t="s">
        <v>1237</v>
      </c>
      <c r="B18" s="4" t="s">
        <v>1238</v>
      </c>
      <c r="C18" s="4" t="n">
        <f aca="false">COUNTIF('Семантическое ядро'!$C$2:$C$840,A18)</f>
        <v>25</v>
      </c>
      <c r="D18" s="5" t="n">
        <f aca="false">_xlfn.MAXIFS('Семантическое ядро'!$G$2:$G$840,'Семантическое ядро'!$C$2:$C$840,A18)</f>
        <v>1471</v>
      </c>
      <c r="E18" s="5" t="n">
        <f aca="false">SUMIFS('Семантическое ядро'!$J$2:$J$840,'Семантическое ядро'!$C$2:$C$840,A18)</f>
        <v>0</v>
      </c>
      <c r="F18" s="4" t="n">
        <f aca="false">COUNTIFS('Семантическое ядро'!$C$2:$C$840,A18,'Семантическое ядро'!$J$2:$J$840,"&gt;=0")</f>
        <v>2</v>
      </c>
      <c r="G18" s="13" t="n">
        <f aca="false">IF(C18&gt;0,H18/C18,"")</f>
        <v>0</v>
      </c>
      <c r="H18" s="4" t="n">
        <f aca="false">COUNTIFS('Семантическое ядро'!$C$2:$C$840,A18,'Семантическое ядро'!$M$2:$M$840,"A")</f>
        <v>0</v>
      </c>
      <c r="I18" s="4" t="s">
        <v>1211</v>
      </c>
      <c r="J18" s="4"/>
    </row>
    <row r="19" customFormat="false" ht="15" hidden="false" customHeight="false" outlineLevel="0" collapsed="false">
      <c r="A19" s="6" t="s">
        <v>1300</v>
      </c>
      <c r="C19" s="14" t="n">
        <f aca="false">SUM(C2:C18)</f>
        <v>839</v>
      </c>
      <c r="E19" s="14" t="n">
        <f aca="false">SUM(E2:E18)</f>
        <v>965</v>
      </c>
      <c r="F19" s="14" t="n">
        <f aca="false">SUM(F2:F18)</f>
        <v>182</v>
      </c>
      <c r="H19" s="14" t="n">
        <f aca="false">SUM(H2:H18)</f>
        <v>17</v>
      </c>
    </row>
    <row r="21" customFormat="false" ht="15" hidden="false" customHeight="false" outlineLevel="0" collapsed="false">
      <c r="A21" s="8" t="s">
        <v>1301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66"/>
    <col collapsed="false" customWidth="true" hidden="false" outlineLevel="0" max="4" min="4" style="0" width="10"/>
    <col collapsed="false" customWidth="true" hidden="false" outlineLevel="0" max="5" min="5" style="0" width="92"/>
    <col collapsed="false" customWidth="true" hidden="false" outlineLevel="0" max="6" min="6" style="0" width="12"/>
    <col collapsed="false" customWidth="true" hidden="false" outlineLevel="0" max="7" min="7" style="0" width="56"/>
    <col collapsed="false" customWidth="true" hidden="false" outlineLevel="0" max="8" min="8" style="0" width="22"/>
  </cols>
  <sheetData>
    <row r="1" customFormat="false" ht="31.5" hidden="false" customHeight="true" outlineLevel="0" collapsed="false">
      <c r="A1" s="9" t="s">
        <v>76</v>
      </c>
      <c r="B1" s="9" t="s">
        <v>1302</v>
      </c>
      <c r="C1" s="9" t="s">
        <v>1303</v>
      </c>
      <c r="D1" s="9" t="s">
        <v>1304</v>
      </c>
      <c r="E1" s="9" t="s">
        <v>1305</v>
      </c>
      <c r="F1" s="9" t="s">
        <v>1306</v>
      </c>
      <c r="G1" s="9" t="s">
        <v>1307</v>
      </c>
      <c r="H1" s="9" t="s">
        <v>1308</v>
      </c>
    </row>
    <row r="2" customFormat="false" ht="23.85" hidden="false" customHeight="false" outlineLevel="0" collapsed="false">
      <c r="A2" s="4" t="s">
        <v>90</v>
      </c>
      <c r="B2" s="4" t="s">
        <v>1309</v>
      </c>
      <c r="C2" s="4" t="s">
        <v>1310</v>
      </c>
      <c r="D2" s="4" t="n">
        <f aca="false">LEN(C2)</f>
        <v>64</v>
      </c>
      <c r="E2" s="4" t="s">
        <v>1311</v>
      </c>
      <c r="F2" s="4" t="n">
        <f aca="false">LEN(E2)</f>
        <v>157</v>
      </c>
      <c r="G2" s="4" t="s">
        <v>1281</v>
      </c>
      <c r="H2" s="4" t="str">
        <f aca="false">IF(AND(D2&lt;=70,F2&lt;=160),"ок","слишком длинно")</f>
        <v>ок</v>
      </c>
    </row>
    <row r="3" customFormat="false" ht="23.85" hidden="false" customHeight="false" outlineLevel="0" collapsed="false">
      <c r="A3" s="4" t="s">
        <v>381</v>
      </c>
      <c r="B3" s="4" t="s">
        <v>1312</v>
      </c>
      <c r="C3" s="4" t="s">
        <v>1313</v>
      </c>
      <c r="D3" s="4" t="n">
        <f aca="false">LEN(C3)</f>
        <v>62</v>
      </c>
      <c r="E3" s="4" t="s">
        <v>1314</v>
      </c>
      <c r="F3" s="4" t="n">
        <f aca="false">LEN(E3)</f>
        <v>143</v>
      </c>
      <c r="G3" s="4" t="s">
        <v>1282</v>
      </c>
      <c r="H3" s="4" t="str">
        <f aca="false">IF(AND(D3&lt;=70,F3&lt;=160),"ок","слишком длинно")</f>
        <v>ок</v>
      </c>
    </row>
    <row r="4" customFormat="false" ht="23.85" hidden="false" customHeight="false" outlineLevel="0" collapsed="false">
      <c r="A4" s="4" t="s">
        <v>406</v>
      </c>
      <c r="B4" s="4" t="s">
        <v>1315</v>
      </c>
      <c r="C4" s="4" t="s">
        <v>1316</v>
      </c>
      <c r="D4" s="4" t="n">
        <f aca="false">LEN(C4)</f>
        <v>52</v>
      </c>
      <c r="E4" s="4" t="s">
        <v>1317</v>
      </c>
      <c r="F4" s="4" t="n">
        <f aca="false">LEN(E4)</f>
        <v>143</v>
      </c>
      <c r="G4" s="4" t="s">
        <v>1283</v>
      </c>
      <c r="H4" s="4" t="str">
        <f aca="false">IF(AND(D4&lt;=70,F4&lt;=160),"ок","слишком длинно")</f>
        <v>ок</v>
      </c>
    </row>
    <row r="5" customFormat="false" ht="23.85" hidden="false" customHeight="false" outlineLevel="0" collapsed="false">
      <c r="A5" s="4" t="s">
        <v>431</v>
      </c>
      <c r="B5" s="4" t="s">
        <v>1318</v>
      </c>
      <c r="C5" s="4" t="s">
        <v>1319</v>
      </c>
      <c r="D5" s="4" t="n">
        <f aca="false">LEN(C5)</f>
        <v>55</v>
      </c>
      <c r="E5" s="4" t="s">
        <v>1320</v>
      </c>
      <c r="F5" s="4" t="n">
        <f aca="false">LEN(E5)</f>
        <v>140</v>
      </c>
      <c r="G5" s="4" t="s">
        <v>1284</v>
      </c>
      <c r="H5" s="4" t="str">
        <f aca="false">IF(AND(D5&lt;=70,F5&lt;=160),"ок","слишком длинно")</f>
        <v>ок</v>
      </c>
    </row>
    <row r="6" customFormat="false" ht="23.85" hidden="false" customHeight="false" outlineLevel="0" collapsed="false">
      <c r="A6" s="4" t="s">
        <v>454</v>
      </c>
      <c r="B6" s="4" t="s">
        <v>1321</v>
      </c>
      <c r="C6" s="4" t="s">
        <v>1322</v>
      </c>
      <c r="D6" s="4" t="n">
        <f aca="false">LEN(C6)</f>
        <v>55</v>
      </c>
      <c r="E6" s="4" t="s">
        <v>1323</v>
      </c>
      <c r="F6" s="4" t="n">
        <f aca="false">LEN(E6)</f>
        <v>123</v>
      </c>
      <c r="G6" s="4" t="s">
        <v>1285</v>
      </c>
      <c r="H6" s="4" t="str">
        <f aca="false">IF(AND(D6&lt;=70,F6&lt;=160),"ок","слишком длинно")</f>
        <v>ок</v>
      </c>
    </row>
    <row r="7" customFormat="false" ht="23.85" hidden="false" customHeight="false" outlineLevel="0" collapsed="false">
      <c r="A7" s="4" t="s">
        <v>470</v>
      </c>
      <c r="B7" s="4" t="s">
        <v>1324</v>
      </c>
      <c r="C7" s="4" t="s">
        <v>1325</v>
      </c>
      <c r="D7" s="4" t="n">
        <f aca="false">LEN(C7)</f>
        <v>58</v>
      </c>
      <c r="E7" s="4" t="s">
        <v>1326</v>
      </c>
      <c r="F7" s="4" t="n">
        <f aca="false">LEN(E7)</f>
        <v>128</v>
      </c>
      <c r="G7" s="4" t="s">
        <v>1286</v>
      </c>
      <c r="H7" s="4" t="str">
        <f aca="false">IF(AND(D7&lt;=70,F7&lt;=160),"ок","слишком длинно")</f>
        <v>ок</v>
      </c>
    </row>
    <row r="8" customFormat="false" ht="23.85" hidden="false" customHeight="false" outlineLevel="0" collapsed="false">
      <c r="A8" s="4" t="s">
        <v>486</v>
      </c>
      <c r="B8" s="4" t="s">
        <v>1327</v>
      </c>
      <c r="C8" s="4" t="s">
        <v>1328</v>
      </c>
      <c r="D8" s="4" t="n">
        <f aca="false">LEN(C8)</f>
        <v>56</v>
      </c>
      <c r="E8" s="4" t="s">
        <v>1329</v>
      </c>
      <c r="F8" s="4" t="n">
        <f aca="false">LEN(E8)</f>
        <v>116</v>
      </c>
      <c r="G8" s="4" t="s">
        <v>1287</v>
      </c>
      <c r="H8" s="4" t="str">
        <f aca="false">IF(AND(D8&lt;=70,F8&lt;=160),"ок","слишком длинно")</f>
        <v>ок</v>
      </c>
    </row>
    <row r="9" customFormat="false" ht="23.85" hidden="false" customHeight="false" outlineLevel="0" collapsed="false">
      <c r="A9" s="4" t="s">
        <v>522</v>
      </c>
      <c r="B9" s="4" t="s">
        <v>1330</v>
      </c>
      <c r="C9" s="4" t="s">
        <v>1331</v>
      </c>
      <c r="D9" s="4" t="n">
        <f aca="false">LEN(C9)</f>
        <v>61</v>
      </c>
      <c r="E9" s="4" t="s">
        <v>1332</v>
      </c>
      <c r="F9" s="4" t="n">
        <f aca="false">LEN(E9)</f>
        <v>117</v>
      </c>
      <c r="G9" s="4" t="s">
        <v>1289</v>
      </c>
      <c r="H9" s="4" t="str">
        <f aca="false">IF(AND(D9&lt;=70,F9&lt;=160),"ок","слишком длинно")</f>
        <v>ок</v>
      </c>
    </row>
    <row r="10" customFormat="false" ht="23.85" hidden="false" customHeight="false" outlineLevel="0" collapsed="false">
      <c r="A10" s="4" t="s">
        <v>822</v>
      </c>
      <c r="B10" s="4" t="s">
        <v>1333</v>
      </c>
      <c r="C10" s="4" t="s">
        <v>1334</v>
      </c>
      <c r="D10" s="4" t="n">
        <f aca="false">LEN(C10)</f>
        <v>56</v>
      </c>
      <c r="E10" s="4" t="s">
        <v>1335</v>
      </c>
      <c r="F10" s="4" t="n">
        <f aca="false">LEN(E10)</f>
        <v>126</v>
      </c>
      <c r="G10" s="4" t="s">
        <v>1290</v>
      </c>
      <c r="H10" s="4" t="str">
        <f aca="false">IF(AND(D10&lt;=70,F10&lt;=160),"ок","слишком длинно")</f>
        <v>ок</v>
      </c>
    </row>
    <row r="11" customFormat="false" ht="23.85" hidden="false" customHeight="false" outlineLevel="0" collapsed="false">
      <c r="A11" s="4" t="s">
        <v>907</v>
      </c>
      <c r="B11" s="4" t="s">
        <v>1336</v>
      </c>
      <c r="C11" s="4" t="s">
        <v>1337</v>
      </c>
      <c r="D11" s="4" t="n">
        <f aca="false">LEN(C11)</f>
        <v>66</v>
      </c>
      <c r="E11" s="4" t="s">
        <v>1338</v>
      </c>
      <c r="F11" s="4" t="n">
        <f aca="false">LEN(E11)</f>
        <v>124</v>
      </c>
      <c r="G11" s="4" t="s">
        <v>1292</v>
      </c>
      <c r="H11" s="4" t="str">
        <f aca="false">IF(AND(D11&lt;=70,F11&lt;=160),"ок","слишком длинно")</f>
        <v>ок</v>
      </c>
    </row>
    <row r="12" customFormat="false" ht="23.85" hidden="false" customHeight="false" outlineLevel="0" collapsed="false">
      <c r="A12" s="4" t="s">
        <v>944</v>
      </c>
      <c r="B12" s="4" t="s">
        <v>1339</v>
      </c>
      <c r="C12" s="4" t="s">
        <v>1340</v>
      </c>
      <c r="D12" s="4" t="n">
        <f aca="false">LEN(C12)</f>
        <v>56</v>
      </c>
      <c r="E12" s="4" t="s">
        <v>1341</v>
      </c>
      <c r="F12" s="4" t="n">
        <f aca="false">LEN(E12)</f>
        <v>121</v>
      </c>
      <c r="G12" s="4" t="s">
        <v>1294</v>
      </c>
      <c r="H12" s="4" t="str">
        <f aca="false">IF(AND(D12&lt;=70,F12&lt;=160),"ок","слишком длинно")</f>
        <v>ок</v>
      </c>
    </row>
    <row r="13" customFormat="false" ht="23.85" hidden="false" customHeight="false" outlineLevel="0" collapsed="false">
      <c r="A13" s="4" t="s">
        <v>1053</v>
      </c>
      <c r="B13" s="4" t="s">
        <v>1342</v>
      </c>
      <c r="C13" s="4" t="s">
        <v>1343</v>
      </c>
      <c r="D13" s="4" t="n">
        <f aca="false">LEN(C13)</f>
        <v>58</v>
      </c>
      <c r="E13" s="4" t="s">
        <v>1344</v>
      </c>
      <c r="F13" s="4" t="n">
        <f aca="false">LEN(E13)</f>
        <v>119</v>
      </c>
      <c r="G13" s="4" t="s">
        <v>1296</v>
      </c>
      <c r="H13" s="4" t="str">
        <f aca="false">IF(AND(D13&lt;=70,F13&lt;=160),"ок","слишком длинно")</f>
        <v>ок</v>
      </c>
    </row>
    <row r="14" customFormat="false" ht="23.85" hidden="false" customHeight="false" outlineLevel="0" collapsed="false">
      <c r="A14" s="4" t="s">
        <v>1105</v>
      </c>
      <c r="B14" s="4" t="s">
        <v>1345</v>
      </c>
      <c r="C14" s="4" t="s">
        <v>1346</v>
      </c>
      <c r="D14" s="4" t="n">
        <f aca="false">LEN(C14)</f>
        <v>53</v>
      </c>
      <c r="E14" s="4" t="s">
        <v>1347</v>
      </c>
      <c r="F14" s="4" t="n">
        <f aca="false">LEN(E14)</f>
        <v>119</v>
      </c>
      <c r="G14" s="4" t="s">
        <v>1298</v>
      </c>
      <c r="H14" s="4" t="str">
        <f aca="false">IF(AND(D14&lt;=70,F14&lt;=160),"ок","слишком длинно")</f>
        <v>ок</v>
      </c>
    </row>
    <row r="15" customFormat="false" ht="23.85" hidden="false" customHeight="false" outlineLevel="0" collapsed="false">
      <c r="A15" s="4" t="s">
        <v>1169</v>
      </c>
      <c r="B15" s="4" t="s">
        <v>1348</v>
      </c>
      <c r="C15" s="4" t="s">
        <v>1349</v>
      </c>
      <c r="D15" s="4" t="n">
        <f aca="false">LEN(C15)</f>
        <v>63</v>
      </c>
      <c r="E15" s="4" t="s">
        <v>1350</v>
      </c>
      <c r="F15" s="4" t="n">
        <f aca="false">LEN(E15)</f>
        <v>119</v>
      </c>
      <c r="G15" s="4" t="s">
        <v>1299</v>
      </c>
      <c r="H15" s="4" t="str">
        <f aca="false">IF(AND(D15&lt;=70,F15&lt;=160),"ок","слишком длинно")</f>
        <v>ок</v>
      </c>
    </row>
    <row r="17" customFormat="false" ht="15" hidden="false" customHeight="false" outlineLevel="0" collapsed="false">
      <c r="A17" s="8" t="s">
        <v>1351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36"/>
  </cols>
  <sheetData>
    <row r="1" customFormat="false" ht="31.5" hidden="false" customHeight="true" outlineLevel="0" collapsed="false">
      <c r="A1" s="9" t="s">
        <v>1352</v>
      </c>
      <c r="B1" s="9" t="s">
        <v>1353</v>
      </c>
      <c r="C1" s="9" t="s">
        <v>1354</v>
      </c>
      <c r="D1" s="9" t="s">
        <v>1355</v>
      </c>
      <c r="E1" s="9" t="s">
        <v>1356</v>
      </c>
    </row>
    <row r="2" customFormat="false" ht="15" hidden="false" customHeight="false" outlineLevel="0" collapsed="false">
      <c r="A2" s="4" t="s">
        <v>1357</v>
      </c>
      <c r="B2" s="4" t="s">
        <v>1358</v>
      </c>
      <c r="C2" s="4" t="s">
        <v>1359</v>
      </c>
      <c r="D2" s="4" t="s">
        <v>1360</v>
      </c>
      <c r="E2" s="4" t="s">
        <v>1361</v>
      </c>
    </row>
    <row r="3" customFormat="false" ht="15" hidden="false" customHeight="false" outlineLevel="0" collapsed="false">
      <c r="A3" s="4" t="s">
        <v>1357</v>
      </c>
      <c r="B3" s="4" t="s">
        <v>1362</v>
      </c>
      <c r="C3" s="4" t="s">
        <v>1363</v>
      </c>
      <c r="D3" s="4" t="s">
        <v>1364</v>
      </c>
      <c r="E3" s="4" t="s">
        <v>455</v>
      </c>
    </row>
    <row r="4" customFormat="false" ht="15" hidden="false" customHeight="false" outlineLevel="0" collapsed="false">
      <c r="A4" s="4" t="s">
        <v>1357</v>
      </c>
      <c r="B4" s="4" t="s">
        <v>1365</v>
      </c>
      <c r="C4" s="4" t="s">
        <v>1366</v>
      </c>
      <c r="D4" s="4" t="s">
        <v>1367</v>
      </c>
      <c r="E4" s="4" t="s">
        <v>487</v>
      </c>
    </row>
    <row r="5" customFormat="false" ht="15" hidden="false" customHeight="false" outlineLevel="0" collapsed="false">
      <c r="A5" s="4" t="s">
        <v>1357</v>
      </c>
      <c r="B5" s="4" t="s">
        <v>1368</v>
      </c>
      <c r="C5" s="4" t="s">
        <v>1369</v>
      </c>
      <c r="D5" s="4" t="s">
        <v>1370</v>
      </c>
      <c r="E5" s="4" t="s">
        <v>523</v>
      </c>
    </row>
    <row r="6" customFormat="false" ht="15" hidden="false" customHeight="false" outlineLevel="0" collapsed="false">
      <c r="A6" s="4" t="s">
        <v>1371</v>
      </c>
      <c r="B6" s="4" t="s">
        <v>1372</v>
      </c>
      <c r="C6" s="4" t="s">
        <v>1373</v>
      </c>
      <c r="D6" s="4" t="s">
        <v>1374</v>
      </c>
      <c r="E6" s="4" t="s">
        <v>1211</v>
      </c>
    </row>
    <row r="7" customFormat="false" ht="15" hidden="false" customHeight="false" outlineLevel="0" collapsed="false">
      <c r="A7" s="4" t="s">
        <v>1371</v>
      </c>
      <c r="B7" s="4" t="s">
        <v>1375</v>
      </c>
      <c r="C7" s="4" t="s">
        <v>1376</v>
      </c>
      <c r="D7" s="4" t="s">
        <v>1377</v>
      </c>
      <c r="E7" s="4" t="s">
        <v>1378</v>
      </c>
    </row>
    <row r="8" customFormat="false" ht="23.85" hidden="false" customHeight="false" outlineLevel="0" collapsed="false">
      <c r="A8" s="4" t="s">
        <v>1379</v>
      </c>
      <c r="B8" s="4" t="s">
        <v>1380</v>
      </c>
      <c r="C8" s="4" t="s">
        <v>1381</v>
      </c>
      <c r="D8" s="4" t="s">
        <v>1382</v>
      </c>
      <c r="E8" s="4" t="s">
        <v>1383</v>
      </c>
    </row>
    <row r="9" customFormat="false" ht="15" hidden="false" customHeight="false" outlineLevel="0" collapsed="false">
      <c r="A9" s="4" t="s">
        <v>1379</v>
      </c>
      <c r="B9" s="4" t="s">
        <v>1384</v>
      </c>
      <c r="C9" s="4" t="s">
        <v>1385</v>
      </c>
      <c r="D9" s="4" t="s">
        <v>1386</v>
      </c>
      <c r="E9" s="4" t="s">
        <v>471</v>
      </c>
    </row>
    <row r="10" customFormat="false" ht="15" hidden="false" customHeight="false" outlineLevel="0" collapsed="false">
      <c r="A10" s="4" t="s">
        <v>1379</v>
      </c>
      <c r="B10" s="4" t="s">
        <v>1387</v>
      </c>
      <c r="C10" s="4" t="s">
        <v>1388</v>
      </c>
      <c r="D10" s="4" t="s">
        <v>1389</v>
      </c>
      <c r="E10" s="4" t="s">
        <v>1390</v>
      </c>
    </row>
    <row r="11" customFormat="false" ht="15" hidden="false" customHeight="false" outlineLevel="0" collapsed="false">
      <c r="A11" s="4" t="s">
        <v>1391</v>
      </c>
      <c r="B11" s="4" t="s">
        <v>1392</v>
      </c>
      <c r="C11" s="4" t="s">
        <v>1393</v>
      </c>
      <c r="D11" s="4" t="s">
        <v>1394</v>
      </c>
      <c r="E11" s="4" t="s">
        <v>382</v>
      </c>
    </row>
    <row r="12" customFormat="false" ht="15" hidden="false" customHeight="false" outlineLevel="0" collapsed="false">
      <c r="A12" s="4" t="s">
        <v>1391</v>
      </c>
      <c r="B12" s="4" t="s">
        <v>1395</v>
      </c>
      <c r="C12" s="4" t="s">
        <v>1396</v>
      </c>
      <c r="D12" s="4" t="s">
        <v>1397</v>
      </c>
      <c r="E12" s="4" t="s">
        <v>432</v>
      </c>
    </row>
    <row r="13" customFormat="false" ht="23.85" hidden="false" customHeight="false" outlineLevel="0" collapsed="false">
      <c r="A13" s="4" t="s">
        <v>1398</v>
      </c>
      <c r="B13" s="4" t="s">
        <v>1399</v>
      </c>
      <c r="C13" s="4" t="s">
        <v>1400</v>
      </c>
      <c r="D13" s="4" t="s">
        <v>1374</v>
      </c>
      <c r="E13" s="4" t="s">
        <v>1401</v>
      </c>
    </row>
    <row r="14" customFormat="false" ht="23.85" hidden="false" customHeight="false" outlineLevel="0" collapsed="false">
      <c r="A14" s="4" t="s">
        <v>1402</v>
      </c>
      <c r="B14" s="4" t="s">
        <v>1403</v>
      </c>
      <c r="C14" s="4" t="s">
        <v>1404</v>
      </c>
      <c r="D14" s="4" t="s">
        <v>1405</v>
      </c>
      <c r="E14" s="4" t="s">
        <v>1406</v>
      </c>
    </row>
    <row r="15" customFormat="false" ht="23.85" hidden="false" customHeight="false" outlineLevel="0" collapsed="false">
      <c r="A15" s="4" t="s">
        <v>1402</v>
      </c>
      <c r="B15" s="4" t="s">
        <v>1407</v>
      </c>
      <c r="C15" s="4" t="s">
        <v>1408</v>
      </c>
      <c r="D15" s="4" t="s">
        <v>1409</v>
      </c>
      <c r="E15" s="4" t="s">
        <v>945</v>
      </c>
    </row>
    <row r="16" customFormat="false" ht="23.85" hidden="false" customHeight="false" outlineLevel="0" collapsed="false">
      <c r="A16" s="4" t="s">
        <v>1402</v>
      </c>
      <c r="B16" s="4" t="s">
        <v>1410</v>
      </c>
      <c r="C16" s="4" t="s">
        <v>1411</v>
      </c>
      <c r="D16" s="4" t="s">
        <v>1412</v>
      </c>
      <c r="E16" s="4" t="s">
        <v>1054</v>
      </c>
    </row>
    <row r="17" customFormat="false" ht="15" hidden="false" customHeight="false" outlineLevel="0" collapsed="false">
      <c r="A17" s="4" t="s">
        <v>1413</v>
      </c>
      <c r="B17" s="4" t="s">
        <v>1414</v>
      </c>
      <c r="C17" s="4" t="s">
        <v>1415</v>
      </c>
      <c r="D17" s="4" t="s">
        <v>1416</v>
      </c>
      <c r="E17" s="4" t="s">
        <v>1106</v>
      </c>
    </row>
    <row r="18" customFormat="false" ht="15" hidden="false" customHeight="false" outlineLevel="0" collapsed="false">
      <c r="A18" s="4" t="s">
        <v>1417</v>
      </c>
      <c r="B18" s="4" t="s">
        <v>1418</v>
      </c>
      <c r="C18" s="4" t="s">
        <v>1419</v>
      </c>
      <c r="D18" s="4" t="s">
        <v>1420</v>
      </c>
      <c r="E18" s="4" t="s">
        <v>1421</v>
      </c>
    </row>
    <row r="19" customFormat="false" ht="15" hidden="false" customHeight="false" outlineLevel="0" collapsed="false">
      <c r="A19" s="4" t="s">
        <v>1422</v>
      </c>
      <c r="B19" s="4" t="s">
        <v>1423</v>
      </c>
      <c r="C19" s="4" t="s">
        <v>1424</v>
      </c>
      <c r="D19" s="4" t="s">
        <v>1425</v>
      </c>
      <c r="E19" s="4" t="s">
        <v>1426</v>
      </c>
    </row>
    <row r="20" customFormat="false" ht="23.85" hidden="false" customHeight="false" outlineLevel="0" collapsed="false">
      <c r="A20" s="4" t="s">
        <v>1427</v>
      </c>
      <c r="B20" s="4" t="s">
        <v>1428</v>
      </c>
      <c r="C20" s="4" t="s">
        <v>1429</v>
      </c>
      <c r="D20" s="4" t="s">
        <v>1430</v>
      </c>
      <c r="E20" s="4" t="s">
        <v>1211</v>
      </c>
    </row>
    <row r="23" customFormat="false" ht="15" hidden="false" customHeight="false" outlineLevel="0" collapsed="false">
      <c r="A23" s="8" t="s">
        <v>1431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70"/>
    <col collapsed="false" customWidth="true" hidden="false" outlineLevel="0" max="6" min="6" style="0" width="16"/>
  </cols>
  <sheetData>
    <row r="1" customFormat="false" ht="31.5" hidden="false" customHeight="true" outlineLevel="0" collapsed="false">
      <c r="A1" s="9" t="s">
        <v>1432</v>
      </c>
      <c r="B1" s="9" t="s">
        <v>1433</v>
      </c>
      <c r="C1" s="9" t="s">
        <v>1434</v>
      </c>
      <c r="D1" s="9" t="s">
        <v>1435</v>
      </c>
      <c r="E1" s="9" t="s">
        <v>1436</v>
      </c>
      <c r="F1" s="9" t="s">
        <v>1437</v>
      </c>
    </row>
    <row r="2" customFormat="false" ht="15" hidden="false" customHeight="false" outlineLevel="0" collapsed="false">
      <c r="A2" s="4" t="s">
        <v>1438</v>
      </c>
      <c r="B2" s="4" t="s">
        <v>1439</v>
      </c>
      <c r="C2" s="4" t="s">
        <v>1440</v>
      </c>
      <c r="D2" s="4" t="s">
        <v>1441</v>
      </c>
      <c r="E2" s="4" t="s">
        <v>1442</v>
      </c>
      <c r="F2" s="4" t="str">
        <f aca="false">IF(C2="слово",D2,"")</f>
        <v>-ателье</v>
      </c>
    </row>
    <row r="3" customFormat="false" ht="15" hidden="false" customHeight="false" outlineLevel="0" collapsed="false">
      <c r="A3" s="4" t="s">
        <v>1438</v>
      </c>
      <c r="B3" s="4" t="s">
        <v>1443</v>
      </c>
      <c r="C3" s="4" t="s">
        <v>1440</v>
      </c>
      <c r="D3" s="4" t="s">
        <v>1444</v>
      </c>
      <c r="E3" s="4" t="s">
        <v>1442</v>
      </c>
      <c r="F3" s="4" t="str">
        <f aca="false">IF(C3="слово",D3,"")</f>
        <v>-ремонт</v>
      </c>
    </row>
    <row r="4" customFormat="false" ht="15" hidden="false" customHeight="false" outlineLevel="0" collapsed="false">
      <c r="A4" s="4" t="s">
        <v>1438</v>
      </c>
      <c r="B4" s="4" t="s">
        <v>1445</v>
      </c>
      <c r="C4" s="4" t="s">
        <v>1440</v>
      </c>
      <c r="D4" s="4" t="s">
        <v>1446</v>
      </c>
      <c r="E4" s="4" t="s">
        <v>1442</v>
      </c>
      <c r="F4" s="4" t="str">
        <f aca="false">IF(C4="слово",D4,"")</f>
        <v>-подшить</v>
      </c>
    </row>
    <row r="5" customFormat="false" ht="15" hidden="false" customHeight="false" outlineLevel="0" collapsed="false">
      <c r="A5" s="4" t="s">
        <v>1438</v>
      </c>
      <c r="B5" s="4" t="s">
        <v>1447</v>
      </c>
      <c r="C5" s="4" t="s">
        <v>1440</v>
      </c>
      <c r="D5" s="4" t="s">
        <v>1448</v>
      </c>
      <c r="E5" s="4" t="s">
        <v>1442</v>
      </c>
      <c r="F5" s="4" t="str">
        <f aca="false">IF(C5="слово",D5,"")</f>
        <v>-подшив</v>
      </c>
    </row>
    <row r="6" customFormat="false" ht="15" hidden="false" customHeight="false" outlineLevel="0" collapsed="false">
      <c r="A6" s="4" t="s">
        <v>1438</v>
      </c>
      <c r="B6" s="4" t="s">
        <v>1449</v>
      </c>
      <c r="C6" s="4" t="s">
        <v>1440</v>
      </c>
      <c r="D6" s="4" t="s">
        <v>1450</v>
      </c>
      <c r="E6" s="4" t="s">
        <v>1442</v>
      </c>
      <c r="F6" s="4" t="str">
        <f aca="false">IF(C6="слово",D6,"")</f>
        <v>-укоротить</v>
      </c>
    </row>
    <row r="7" customFormat="false" ht="15" hidden="false" customHeight="false" outlineLevel="0" collapsed="false">
      <c r="A7" s="4" t="s">
        <v>1438</v>
      </c>
      <c r="B7" s="4" t="s">
        <v>1451</v>
      </c>
      <c r="C7" s="4" t="s">
        <v>1440</v>
      </c>
      <c r="D7" s="4" t="s">
        <v>1452</v>
      </c>
      <c r="E7" s="4" t="s">
        <v>1442</v>
      </c>
      <c r="F7" s="4" t="str">
        <f aca="false">IF(C7="слово",D7,"")</f>
        <v>-перешив</v>
      </c>
    </row>
    <row r="8" customFormat="false" ht="15" hidden="false" customHeight="false" outlineLevel="0" collapsed="false">
      <c r="A8" s="4" t="s">
        <v>1438</v>
      </c>
      <c r="B8" s="4" t="s">
        <v>1453</v>
      </c>
      <c r="C8" s="4" t="s">
        <v>1440</v>
      </c>
      <c r="D8" s="4" t="s">
        <v>1454</v>
      </c>
      <c r="E8" s="4" t="s">
        <v>1442</v>
      </c>
      <c r="F8" s="4" t="str">
        <f aca="false">IF(C8="слово",D8,"")</f>
        <v>-переделка</v>
      </c>
    </row>
    <row r="9" customFormat="false" ht="15" hidden="false" customHeight="false" outlineLevel="0" collapsed="false">
      <c r="A9" s="4" t="s">
        <v>1438</v>
      </c>
      <c r="B9" s="4" t="s">
        <v>1455</v>
      </c>
      <c r="C9" s="4" t="s">
        <v>1440</v>
      </c>
      <c r="D9" s="4" t="s">
        <v>1456</v>
      </c>
      <c r="E9" s="4" t="s">
        <v>1442</v>
      </c>
      <c r="F9" s="4" t="str">
        <f aca="false">IF(C9="слово",D9,"")</f>
        <v>-переделать</v>
      </c>
    </row>
    <row r="10" customFormat="false" ht="15" hidden="false" customHeight="false" outlineLevel="0" collapsed="false">
      <c r="A10" s="4" t="s">
        <v>1438</v>
      </c>
      <c r="B10" s="4" t="s">
        <v>1457</v>
      </c>
      <c r="C10" s="4" t="s">
        <v>1440</v>
      </c>
      <c r="D10" s="4" t="s">
        <v>1458</v>
      </c>
      <c r="E10" s="4" t="s">
        <v>1442</v>
      </c>
      <c r="F10" s="4" t="str">
        <f aca="false">IF(C10="слово",D10,"")</f>
        <v>-подгонка</v>
      </c>
    </row>
    <row r="11" customFormat="false" ht="15" hidden="false" customHeight="false" outlineLevel="0" collapsed="false">
      <c r="A11" s="4" t="s">
        <v>1438</v>
      </c>
      <c r="B11" s="4" t="s">
        <v>1459</v>
      </c>
      <c r="C11" s="4" t="s">
        <v>1460</v>
      </c>
      <c r="D11" s="4" t="s">
        <v>1461</v>
      </c>
      <c r="E11" s="4" t="s">
        <v>1442</v>
      </c>
      <c r="F11" s="4" t="str">
        <f aca="false">IF(C11="слово",D11,"")</f>
        <v/>
      </c>
    </row>
    <row r="12" customFormat="false" ht="15" hidden="false" customHeight="false" outlineLevel="0" collapsed="false">
      <c r="A12" s="4" t="s">
        <v>1438</v>
      </c>
      <c r="B12" s="4" t="s">
        <v>1462</v>
      </c>
      <c r="C12" s="4" t="s">
        <v>1440</v>
      </c>
      <c r="D12" s="4" t="s">
        <v>1463</v>
      </c>
      <c r="E12" s="4" t="s">
        <v>1442</v>
      </c>
      <c r="F12" s="4" t="str">
        <f aca="false">IF(C12="слово",D12,"")</f>
        <v>-свадебное</v>
      </c>
    </row>
    <row r="13" customFormat="false" ht="15" hidden="false" customHeight="false" outlineLevel="0" collapsed="false">
      <c r="A13" s="4" t="s">
        <v>1438</v>
      </c>
      <c r="B13" s="4" t="s">
        <v>1464</v>
      </c>
      <c r="C13" s="4" t="s">
        <v>1440</v>
      </c>
      <c r="D13" s="4" t="s">
        <v>1465</v>
      </c>
      <c r="E13" s="4" t="s">
        <v>1442</v>
      </c>
      <c r="F13" s="4" t="str">
        <f aca="false">IF(C13="слово",D13,"")</f>
        <v>-выпускной</v>
      </c>
    </row>
    <row r="14" customFormat="false" ht="15" hidden="false" customHeight="false" outlineLevel="0" collapsed="false">
      <c r="A14" s="4" t="s">
        <v>1438</v>
      </c>
      <c r="B14" s="4" t="s">
        <v>1466</v>
      </c>
      <c r="C14" s="4" t="s">
        <v>1440</v>
      </c>
      <c r="D14" s="4" t="s">
        <v>1467</v>
      </c>
      <c r="E14" s="4" t="s">
        <v>1442</v>
      </c>
      <c r="F14" s="4" t="str">
        <f aca="false">IF(C14="слово",D14,"")</f>
        <v>-вечернее</v>
      </c>
    </row>
    <row r="15" customFormat="false" ht="15" hidden="false" customHeight="false" outlineLevel="0" collapsed="false">
      <c r="A15" s="4" t="s">
        <v>1438</v>
      </c>
      <c r="B15" s="4" t="s">
        <v>1468</v>
      </c>
      <c r="C15" s="4" t="s">
        <v>1440</v>
      </c>
      <c r="D15" s="4" t="s">
        <v>1469</v>
      </c>
      <c r="E15" s="4" t="s">
        <v>1442</v>
      </c>
      <c r="F15" s="4" t="str">
        <f aca="false">IF(C15="слово",D15,"")</f>
        <v>-бальное</v>
      </c>
    </row>
    <row r="16" customFormat="false" ht="15" hidden="false" customHeight="false" outlineLevel="0" collapsed="false">
      <c r="A16" s="4" t="s">
        <v>1438</v>
      </c>
      <c r="B16" s="4" t="s">
        <v>1470</v>
      </c>
      <c r="C16" s="4" t="s">
        <v>1440</v>
      </c>
      <c r="D16" s="4" t="s">
        <v>1471</v>
      </c>
      <c r="E16" s="4" t="s">
        <v>1442</v>
      </c>
      <c r="F16" s="4" t="str">
        <f aca="false">IF(C16="слово",D16,"")</f>
        <v>-бальные</v>
      </c>
    </row>
    <row r="17" customFormat="false" ht="15" hidden="false" customHeight="false" outlineLevel="0" collapsed="false">
      <c r="A17" s="4" t="s">
        <v>1472</v>
      </c>
      <c r="B17" s="4" t="s">
        <v>1473</v>
      </c>
      <c r="C17" s="4" t="s">
        <v>1440</v>
      </c>
      <c r="D17" s="4" t="s">
        <v>1474</v>
      </c>
      <c r="E17" s="4" t="s">
        <v>1475</v>
      </c>
      <c r="F17" s="4" t="str">
        <f aca="false">IF(C17="слово",D17,"")</f>
        <v>-выкройка</v>
      </c>
    </row>
    <row r="18" customFormat="false" ht="15" hidden="false" customHeight="false" outlineLevel="0" collapsed="false">
      <c r="A18" s="4" t="s">
        <v>1472</v>
      </c>
      <c r="B18" s="4" t="s">
        <v>1476</v>
      </c>
      <c r="C18" s="4" t="s">
        <v>1440</v>
      </c>
      <c r="D18" s="4" t="s">
        <v>1477</v>
      </c>
      <c r="E18" s="4" t="s">
        <v>1475</v>
      </c>
      <c r="F18" s="4" t="str">
        <f aca="false">IF(C18="слово",D18,"")</f>
        <v>-выкройки</v>
      </c>
    </row>
    <row r="19" customFormat="false" ht="15" hidden="false" customHeight="false" outlineLevel="0" collapsed="false">
      <c r="A19" s="4" t="s">
        <v>1472</v>
      </c>
      <c r="B19" s="4" t="s">
        <v>1478</v>
      </c>
      <c r="C19" s="4" t="s">
        <v>1460</v>
      </c>
      <c r="D19" s="4" t="s">
        <v>1479</v>
      </c>
      <c r="E19" s="4" t="s">
        <v>1475</v>
      </c>
      <c r="F19" s="4" t="str">
        <f aca="false">IF(C19="слово",D19,"")</f>
        <v/>
      </c>
    </row>
    <row r="20" customFormat="false" ht="15" hidden="false" customHeight="false" outlineLevel="0" collapsed="false">
      <c r="A20" s="4" t="s">
        <v>1472</v>
      </c>
      <c r="B20" s="4" t="s">
        <v>1480</v>
      </c>
      <c r="C20" s="4" t="s">
        <v>1440</v>
      </c>
      <c r="D20" s="4" t="s">
        <v>1481</v>
      </c>
      <c r="E20" s="4" t="s">
        <v>1475</v>
      </c>
      <c r="F20" s="4" t="str">
        <f aca="false">IF(C20="слово",D20,"")</f>
        <v>-курсы</v>
      </c>
    </row>
    <row r="21" customFormat="false" ht="15" hidden="false" customHeight="false" outlineLevel="0" collapsed="false">
      <c r="A21" s="4" t="s">
        <v>1472</v>
      </c>
      <c r="B21" s="4" t="s">
        <v>1482</v>
      </c>
      <c r="C21" s="4" t="s">
        <v>1440</v>
      </c>
      <c r="D21" s="4" t="s">
        <v>1483</v>
      </c>
      <c r="E21" s="4" t="s">
        <v>1475</v>
      </c>
      <c r="F21" s="4" t="str">
        <f aca="false">IF(C21="слово",D21,"")</f>
        <v>-обучение</v>
      </c>
    </row>
    <row r="22" customFormat="false" ht="15" hidden="false" customHeight="false" outlineLevel="0" collapsed="false">
      <c r="A22" s="4" t="s">
        <v>1472</v>
      </c>
      <c r="B22" s="4" t="s">
        <v>1484</v>
      </c>
      <c r="C22" s="4" t="s">
        <v>1440</v>
      </c>
      <c r="D22" s="4" t="s">
        <v>1485</v>
      </c>
      <c r="E22" s="4" t="s">
        <v>1475</v>
      </c>
      <c r="F22" s="4" t="str">
        <f aca="false">IF(C22="слово",D22,"")</f>
        <v>-мастер-класс</v>
      </c>
    </row>
    <row r="23" customFormat="false" ht="15" hidden="false" customHeight="false" outlineLevel="0" collapsed="false">
      <c r="A23" s="4" t="s">
        <v>1472</v>
      </c>
      <c r="B23" s="4" t="s">
        <v>1486</v>
      </c>
      <c r="C23" s="4" t="s">
        <v>1440</v>
      </c>
      <c r="D23" s="4" t="s">
        <v>1487</v>
      </c>
      <c r="E23" s="4" t="s">
        <v>1475</v>
      </c>
      <c r="F23" s="4" t="str">
        <f aca="false">IF(C23="слово",D23,"")</f>
        <v>-урок</v>
      </c>
    </row>
    <row r="24" customFormat="false" ht="15" hidden="false" customHeight="false" outlineLevel="0" collapsed="false">
      <c r="A24" s="4" t="s">
        <v>1472</v>
      </c>
      <c r="B24" s="4" t="s">
        <v>1488</v>
      </c>
      <c r="C24" s="4" t="s">
        <v>1460</v>
      </c>
      <c r="D24" s="4" t="s">
        <v>1489</v>
      </c>
      <c r="E24" s="4" t="s">
        <v>1475</v>
      </c>
      <c r="F24" s="4" t="str">
        <f aca="false">IF(C24="слово",D24,"")</f>
        <v/>
      </c>
    </row>
    <row r="25" customFormat="false" ht="15" hidden="false" customHeight="false" outlineLevel="0" collapsed="false">
      <c r="A25" s="4" t="s">
        <v>1472</v>
      </c>
      <c r="B25" s="4" t="s">
        <v>1490</v>
      </c>
      <c r="C25" s="4" t="s">
        <v>1440</v>
      </c>
      <c r="D25" s="4" t="s">
        <v>1491</v>
      </c>
      <c r="E25" s="4" t="s">
        <v>1475</v>
      </c>
      <c r="F25" s="4" t="str">
        <f aca="false">IF(C25="слово",D25,"")</f>
        <v>-самостоятельно</v>
      </c>
    </row>
    <row r="26" customFormat="false" ht="15" hidden="false" customHeight="false" outlineLevel="0" collapsed="false">
      <c r="A26" s="4" t="s">
        <v>1472</v>
      </c>
      <c r="B26" s="4" t="s">
        <v>1492</v>
      </c>
      <c r="C26" s="4" t="s">
        <v>1440</v>
      </c>
      <c r="D26" s="4" t="s">
        <v>1493</v>
      </c>
      <c r="E26" s="4" t="s">
        <v>1475</v>
      </c>
      <c r="F26" s="4" t="str">
        <f aca="false">IF(C26="слово",D26,"")</f>
        <v>-схема</v>
      </c>
    </row>
    <row r="27" customFormat="false" ht="15" hidden="false" customHeight="false" outlineLevel="0" collapsed="false">
      <c r="A27" s="4" t="s">
        <v>1472</v>
      </c>
      <c r="B27" s="4" t="s">
        <v>1494</v>
      </c>
      <c r="C27" s="4" t="s">
        <v>1440</v>
      </c>
      <c r="D27" s="4" t="s">
        <v>1495</v>
      </c>
      <c r="E27" s="4" t="s">
        <v>1475</v>
      </c>
      <c r="F27" s="4" t="str">
        <f aca="false">IF(C27="слово",D27,"")</f>
        <v>-скачать</v>
      </c>
    </row>
    <row r="28" customFormat="false" ht="15" hidden="false" customHeight="false" outlineLevel="0" collapsed="false">
      <c r="A28" s="4" t="s">
        <v>1472</v>
      </c>
      <c r="B28" s="4" t="s">
        <v>1496</v>
      </c>
      <c r="C28" s="4" t="s">
        <v>1440</v>
      </c>
      <c r="D28" s="4" t="s">
        <v>1497</v>
      </c>
      <c r="E28" s="4" t="s">
        <v>1475</v>
      </c>
      <c r="F28" s="4" t="str">
        <f aca="false">IF(C28="слово",D28,"")</f>
        <v>-бесплатно</v>
      </c>
    </row>
    <row r="29" customFormat="false" ht="15" hidden="false" customHeight="false" outlineLevel="0" collapsed="false">
      <c r="A29" s="4" t="s">
        <v>1472</v>
      </c>
      <c r="B29" s="4" t="s">
        <v>1498</v>
      </c>
      <c r="C29" s="4" t="s">
        <v>1440</v>
      </c>
      <c r="D29" s="4" t="s">
        <v>1499</v>
      </c>
      <c r="E29" s="4" t="s">
        <v>1475</v>
      </c>
      <c r="F29" s="4" t="str">
        <f aca="false">IF(C29="слово",D29,"")</f>
        <v>-pdf</v>
      </c>
    </row>
    <row r="30" customFormat="false" ht="15" hidden="false" customHeight="false" outlineLevel="0" collapsed="false">
      <c r="A30" s="4" t="s">
        <v>1472</v>
      </c>
      <c r="B30" s="4" t="s">
        <v>1500</v>
      </c>
      <c r="C30" s="4" t="s">
        <v>1440</v>
      </c>
      <c r="D30" s="4" t="s">
        <v>1501</v>
      </c>
      <c r="E30" s="4" t="s">
        <v>1475</v>
      </c>
      <c r="F30" s="4" t="str">
        <f aca="false">IF(C30="слово",D30,"")</f>
        <v>-видео</v>
      </c>
    </row>
    <row r="31" customFormat="false" ht="15" hidden="false" customHeight="false" outlineLevel="0" collapsed="false">
      <c r="A31" s="4" t="s">
        <v>1472</v>
      </c>
      <c r="B31" s="4" t="s">
        <v>1502</v>
      </c>
      <c r="C31" s="4" t="s">
        <v>1440</v>
      </c>
      <c r="D31" s="4" t="s">
        <v>1503</v>
      </c>
      <c r="E31" s="4" t="s">
        <v>1475</v>
      </c>
      <c r="F31" s="4" t="str">
        <f aca="false">IF(C31="слово",D31,"")</f>
        <v>-реферат</v>
      </c>
    </row>
    <row r="32" customFormat="false" ht="15" hidden="false" customHeight="false" outlineLevel="0" collapsed="false">
      <c r="A32" s="4" t="s">
        <v>1472</v>
      </c>
      <c r="B32" s="4" t="s">
        <v>1504</v>
      </c>
      <c r="C32" s="4" t="s">
        <v>1460</v>
      </c>
      <c r="D32" s="4" t="s">
        <v>1505</v>
      </c>
      <c r="E32" s="4" t="s">
        <v>1475</v>
      </c>
      <c r="F32" s="4" t="str">
        <f aca="false">IF(C32="слово",D32,"")</f>
        <v/>
      </c>
    </row>
    <row r="33" customFormat="false" ht="15" hidden="false" customHeight="false" outlineLevel="0" collapsed="false">
      <c r="A33" s="4" t="s">
        <v>1472</v>
      </c>
      <c r="B33" s="4" t="s">
        <v>1506</v>
      </c>
      <c r="C33" s="4" t="s">
        <v>1440</v>
      </c>
      <c r="D33" s="4" t="s">
        <v>1507</v>
      </c>
      <c r="E33" s="4" t="s">
        <v>1475</v>
      </c>
      <c r="F33" s="4" t="str">
        <f aca="false">IF(C33="слово",D33,"")</f>
        <v>-пошагово</v>
      </c>
    </row>
    <row r="34" customFormat="false" ht="15" hidden="false" customHeight="false" outlineLevel="0" collapsed="false">
      <c r="A34" s="4" t="s">
        <v>1472</v>
      </c>
      <c r="B34" s="4" t="s">
        <v>1508</v>
      </c>
      <c r="C34" s="4" t="s">
        <v>1440</v>
      </c>
      <c r="D34" s="4" t="s">
        <v>1509</v>
      </c>
      <c r="E34" s="4" t="s">
        <v>1475</v>
      </c>
      <c r="F34" s="4" t="str">
        <f aca="false">IF(C34="слово",D34,"")</f>
        <v>-лоскутное</v>
      </c>
    </row>
    <row r="35" customFormat="false" ht="15" hidden="false" customHeight="false" outlineLevel="0" collapsed="false">
      <c r="A35" s="4" t="s">
        <v>1472</v>
      </c>
      <c r="B35" s="4" t="s">
        <v>1510</v>
      </c>
      <c r="C35" s="4" t="s">
        <v>1460</v>
      </c>
      <c r="D35" s="4" t="s">
        <v>1511</v>
      </c>
      <c r="E35" s="4" t="s">
        <v>1475</v>
      </c>
      <c r="F35" s="4" t="str">
        <f aca="false">IF(C35="слово",D35,"")</f>
        <v/>
      </c>
    </row>
    <row r="36" customFormat="false" ht="15" hidden="false" customHeight="false" outlineLevel="0" collapsed="false">
      <c r="A36" s="4" t="s">
        <v>1472</v>
      </c>
      <c r="B36" s="4" t="s">
        <v>1512</v>
      </c>
      <c r="C36" s="4" t="s">
        <v>1460</v>
      </c>
      <c r="D36" s="4" t="s">
        <v>1513</v>
      </c>
      <c r="E36" s="4" t="s">
        <v>1475</v>
      </c>
      <c r="F36" s="4" t="str">
        <f aca="false">IF(C36="слово",D36,"")</f>
        <v/>
      </c>
    </row>
    <row r="37" customFormat="false" ht="15" hidden="false" customHeight="false" outlineLevel="0" collapsed="false">
      <c r="A37" s="4" t="s">
        <v>1514</v>
      </c>
      <c r="B37" s="4" t="s">
        <v>1515</v>
      </c>
      <c r="C37" s="4" t="s">
        <v>1440</v>
      </c>
      <c r="D37" s="4" t="s">
        <v>1516</v>
      </c>
      <c r="E37" s="4" t="s">
        <v>1517</v>
      </c>
      <c r="F37" s="4" t="str">
        <f aca="false">IF(C37="слово",D37,"")</f>
        <v>-вакансия</v>
      </c>
    </row>
    <row r="38" customFormat="false" ht="15" hidden="false" customHeight="false" outlineLevel="0" collapsed="false">
      <c r="A38" s="4" t="s">
        <v>1514</v>
      </c>
      <c r="B38" s="4" t="s">
        <v>1518</v>
      </c>
      <c r="C38" s="4" t="s">
        <v>1440</v>
      </c>
      <c r="D38" s="4" t="s">
        <v>1519</v>
      </c>
      <c r="E38" s="4" t="s">
        <v>1517</v>
      </c>
      <c r="F38" s="4" t="str">
        <f aca="false">IF(C38="слово",D38,"")</f>
        <v>-вакансии</v>
      </c>
    </row>
    <row r="39" customFormat="false" ht="15" hidden="false" customHeight="false" outlineLevel="0" collapsed="false">
      <c r="A39" s="4" t="s">
        <v>1514</v>
      </c>
      <c r="B39" s="4" t="s">
        <v>1520</v>
      </c>
      <c r="C39" s="4" t="s">
        <v>1440</v>
      </c>
      <c r="D39" s="4" t="s">
        <v>1521</v>
      </c>
      <c r="E39" s="4" t="s">
        <v>1517</v>
      </c>
      <c r="F39" s="4" t="str">
        <f aca="false">IF(C39="слово",D39,"")</f>
        <v>-работа</v>
      </c>
    </row>
    <row r="40" customFormat="false" ht="15" hidden="false" customHeight="false" outlineLevel="0" collapsed="false">
      <c r="A40" s="4" t="s">
        <v>1514</v>
      </c>
      <c r="B40" s="4" t="s">
        <v>1522</v>
      </c>
      <c r="C40" s="4" t="s">
        <v>1440</v>
      </c>
      <c r="D40" s="4" t="s">
        <v>1523</v>
      </c>
      <c r="E40" s="4" t="s">
        <v>1517</v>
      </c>
      <c r="F40" s="4" t="str">
        <f aca="false">IF(C40="слово",D40,"")</f>
        <v>-зарплата</v>
      </c>
    </row>
    <row r="41" customFormat="false" ht="15" hidden="false" customHeight="false" outlineLevel="0" collapsed="false">
      <c r="A41" s="4" t="s">
        <v>1514</v>
      </c>
      <c r="B41" s="4" t="s">
        <v>1524</v>
      </c>
      <c r="C41" s="4" t="s">
        <v>1440</v>
      </c>
      <c r="D41" s="4" t="s">
        <v>1525</v>
      </c>
      <c r="E41" s="4" t="s">
        <v>1517</v>
      </c>
      <c r="F41" s="4" t="str">
        <f aca="false">IF(C41="слово",D41,"")</f>
        <v>-резюме</v>
      </c>
    </row>
    <row r="42" customFormat="false" ht="15" hidden="false" customHeight="false" outlineLevel="0" collapsed="false">
      <c r="A42" s="4" t="s">
        <v>1514</v>
      </c>
      <c r="B42" s="4" t="s">
        <v>1526</v>
      </c>
      <c r="C42" s="4" t="s">
        <v>1440</v>
      </c>
      <c r="D42" s="4" t="s">
        <v>1527</v>
      </c>
      <c r="E42" s="4" t="s">
        <v>1517</v>
      </c>
      <c r="F42" s="4" t="str">
        <f aca="false">IF(C42="слово",D42,"")</f>
        <v>-подработка</v>
      </c>
    </row>
    <row r="43" customFormat="false" ht="15" hidden="false" customHeight="false" outlineLevel="0" collapsed="false">
      <c r="A43" s="4" t="s">
        <v>1514</v>
      </c>
      <c r="B43" s="4" t="s">
        <v>1528</v>
      </c>
      <c r="C43" s="4" t="s">
        <v>1440</v>
      </c>
      <c r="D43" s="4" t="s">
        <v>1529</v>
      </c>
      <c r="E43" s="4" t="s">
        <v>1517</v>
      </c>
      <c r="F43" s="4" t="str">
        <f aca="false">IF(C43="слово",D43,"")</f>
        <v>-трудоустройство</v>
      </c>
    </row>
    <row r="44" customFormat="false" ht="15" hidden="false" customHeight="false" outlineLevel="0" collapsed="false">
      <c r="A44" s="4" t="s">
        <v>1514</v>
      </c>
      <c r="B44" s="4" t="s">
        <v>1530</v>
      </c>
      <c r="C44" s="4" t="s">
        <v>1440</v>
      </c>
      <c r="D44" s="4" t="s">
        <v>1531</v>
      </c>
      <c r="E44" s="4" t="s">
        <v>1517</v>
      </c>
      <c r="F44" s="4" t="str">
        <f aca="false">IF(C44="слово",D44,"")</f>
        <v>-швея</v>
      </c>
    </row>
    <row r="45" customFormat="false" ht="15" hidden="false" customHeight="false" outlineLevel="0" collapsed="false">
      <c r="A45" s="4" t="s">
        <v>1514</v>
      </c>
      <c r="B45" s="4" t="s">
        <v>1532</v>
      </c>
      <c r="C45" s="4" t="s">
        <v>1440</v>
      </c>
      <c r="D45" s="4" t="s">
        <v>1533</v>
      </c>
      <c r="E45" s="4" t="s">
        <v>1517</v>
      </c>
      <c r="F45" s="4" t="str">
        <f aca="false">IF(C45="слово",D45,"")</f>
        <v>-швеи</v>
      </c>
    </row>
    <row r="46" customFormat="false" ht="15" hidden="false" customHeight="false" outlineLevel="0" collapsed="false">
      <c r="A46" s="4" t="s">
        <v>1514</v>
      </c>
      <c r="B46" s="4" t="s">
        <v>1534</v>
      </c>
      <c r="C46" s="4" t="s">
        <v>1440</v>
      </c>
      <c r="D46" s="4" t="s">
        <v>1535</v>
      </c>
      <c r="E46" s="4" t="s">
        <v>1517</v>
      </c>
      <c r="F46" s="4" t="str">
        <f aca="false">IF(C46="слово",D46,"")</f>
        <v>-портной</v>
      </c>
    </row>
    <row r="47" customFormat="false" ht="15" hidden="false" customHeight="false" outlineLevel="0" collapsed="false">
      <c r="A47" s="4" t="s">
        <v>1514</v>
      </c>
      <c r="B47" s="4" t="s">
        <v>1536</v>
      </c>
      <c r="C47" s="4" t="s">
        <v>1440</v>
      </c>
      <c r="D47" s="4" t="s">
        <v>1537</v>
      </c>
      <c r="E47" s="4" t="s">
        <v>1517</v>
      </c>
      <c r="F47" s="4" t="str">
        <f aca="false">IF(C47="слово",D47,"")</f>
        <v>-оператор</v>
      </c>
    </row>
    <row r="48" customFormat="false" ht="15" hidden="false" customHeight="false" outlineLevel="0" collapsed="false">
      <c r="A48" s="4" t="s">
        <v>1514</v>
      </c>
      <c r="B48" s="4" t="s">
        <v>1538</v>
      </c>
      <c r="C48" s="4" t="s">
        <v>1440</v>
      </c>
      <c r="D48" s="4" t="s">
        <v>1539</v>
      </c>
      <c r="E48" s="4" t="s">
        <v>1517</v>
      </c>
      <c r="F48" s="4" t="str">
        <f aca="false">IF(C48="слово",D48,"")</f>
        <v>-мастер</v>
      </c>
    </row>
    <row r="49" customFormat="false" ht="15" hidden="false" customHeight="false" outlineLevel="0" collapsed="false">
      <c r="A49" s="4" t="s">
        <v>1514</v>
      </c>
      <c r="B49" s="4" t="s">
        <v>1540</v>
      </c>
      <c r="C49" s="4" t="s">
        <v>1440</v>
      </c>
      <c r="D49" s="4" t="s">
        <v>1541</v>
      </c>
      <c r="E49" s="4" t="s">
        <v>1517</v>
      </c>
      <c r="F49" s="4" t="str">
        <f aca="false">IF(C49="слово",D49,"")</f>
        <v>-обязанности</v>
      </c>
    </row>
    <row r="50" customFormat="false" ht="15" hidden="false" customHeight="false" outlineLevel="0" collapsed="false">
      <c r="A50" s="4" t="s">
        <v>1514</v>
      </c>
      <c r="B50" s="4" t="s">
        <v>1542</v>
      </c>
      <c r="C50" s="4" t="s">
        <v>1440</v>
      </c>
      <c r="D50" s="4" t="s">
        <v>1543</v>
      </c>
      <c r="E50" s="4" t="s">
        <v>1517</v>
      </c>
      <c r="F50" s="4" t="str">
        <f aca="false">IF(C50="слово",D50,"")</f>
        <v>-профессия</v>
      </c>
    </row>
    <row r="51" customFormat="false" ht="15" hidden="false" customHeight="false" outlineLevel="0" collapsed="false">
      <c r="A51" s="4" t="s">
        <v>1514</v>
      </c>
      <c r="B51" s="4" t="s">
        <v>1544</v>
      </c>
      <c r="C51" s="4" t="s">
        <v>1440</v>
      </c>
      <c r="D51" s="4" t="s">
        <v>1545</v>
      </c>
      <c r="E51" s="4" t="s">
        <v>1517</v>
      </c>
      <c r="F51" s="4" t="str">
        <f aca="false">IF(C51="слово",D51,"")</f>
        <v>-должностная</v>
      </c>
    </row>
    <row r="52" customFormat="false" ht="15" hidden="false" customHeight="false" outlineLevel="0" collapsed="false">
      <c r="A52" s="4" t="s">
        <v>1514</v>
      </c>
      <c r="B52" s="4" t="s">
        <v>1546</v>
      </c>
      <c r="C52" s="4" t="s">
        <v>1440</v>
      </c>
      <c r="D52" s="4" t="s">
        <v>1547</v>
      </c>
      <c r="E52" s="4" t="s">
        <v>1517</v>
      </c>
      <c r="F52" s="4" t="str">
        <f aca="false">IF(C52="слово",D52,"")</f>
        <v>-колледж</v>
      </c>
    </row>
    <row r="53" customFormat="false" ht="15" hidden="false" customHeight="false" outlineLevel="0" collapsed="false">
      <c r="A53" s="4" t="s">
        <v>1514</v>
      </c>
      <c r="B53" s="4" t="s">
        <v>1548</v>
      </c>
      <c r="C53" s="4" t="s">
        <v>1440</v>
      </c>
      <c r="D53" s="4" t="s">
        <v>1549</v>
      </c>
      <c r="E53" s="4" t="s">
        <v>1517</v>
      </c>
      <c r="F53" s="4" t="str">
        <f aca="false">IF(C53="слово",D53,"")</f>
        <v>-техникум</v>
      </c>
    </row>
    <row r="54" customFormat="false" ht="15" hidden="false" customHeight="false" outlineLevel="0" collapsed="false">
      <c r="A54" s="4" t="s">
        <v>1514</v>
      </c>
      <c r="B54" s="4" t="s">
        <v>1550</v>
      </c>
      <c r="C54" s="4" t="s">
        <v>1440</v>
      </c>
      <c r="D54" s="4" t="s">
        <v>1551</v>
      </c>
      <c r="E54" s="4" t="s">
        <v>1517</v>
      </c>
      <c r="F54" s="4" t="str">
        <f aca="false">IF(C54="слово",D54,"")</f>
        <v>-институт</v>
      </c>
    </row>
    <row r="55" customFormat="false" ht="15" hidden="false" customHeight="false" outlineLevel="0" collapsed="false">
      <c r="A55" s="4" t="s">
        <v>1514</v>
      </c>
      <c r="B55" s="4" t="s">
        <v>1552</v>
      </c>
      <c r="C55" s="4" t="s">
        <v>1440</v>
      </c>
      <c r="D55" s="4" t="s">
        <v>1553</v>
      </c>
      <c r="E55" s="4" t="s">
        <v>1517</v>
      </c>
      <c r="F55" s="4" t="str">
        <f aca="false">IF(C55="слово",D55,"")</f>
        <v>-образование</v>
      </c>
    </row>
    <row r="56" customFormat="false" ht="15" hidden="false" customHeight="false" outlineLevel="0" collapsed="false">
      <c r="A56" s="4" t="s">
        <v>1514</v>
      </c>
      <c r="B56" s="4" t="s">
        <v>1554</v>
      </c>
      <c r="C56" s="4" t="s">
        <v>1460</v>
      </c>
      <c r="D56" s="4" t="s">
        <v>1555</v>
      </c>
      <c r="E56" s="4" t="s">
        <v>1517</v>
      </c>
      <c r="F56" s="4" t="str">
        <f aca="false">IF(C56="слово",D56,"")</f>
        <v/>
      </c>
    </row>
    <row r="57" customFormat="false" ht="15" hidden="false" customHeight="false" outlineLevel="0" collapsed="false">
      <c r="A57" s="4" t="s">
        <v>1556</v>
      </c>
      <c r="B57" s="4" t="s">
        <v>1557</v>
      </c>
      <c r="C57" s="4" t="s">
        <v>1460</v>
      </c>
      <c r="D57" s="4" t="s">
        <v>1558</v>
      </c>
      <c r="E57" s="4" t="s">
        <v>1559</v>
      </c>
      <c r="F57" s="4" t="str">
        <f aca="false">IF(C57="слово",D57,"")</f>
        <v/>
      </c>
    </row>
    <row r="58" customFormat="false" ht="15" hidden="false" customHeight="false" outlineLevel="0" collapsed="false">
      <c r="A58" s="4" t="s">
        <v>1556</v>
      </c>
      <c r="B58" s="4" t="s">
        <v>1213</v>
      </c>
      <c r="C58" s="4" t="s">
        <v>1460</v>
      </c>
      <c r="D58" s="4" t="s">
        <v>1560</v>
      </c>
      <c r="E58" s="4" t="s">
        <v>1559</v>
      </c>
      <c r="F58" s="4" t="str">
        <f aca="false">IF(C58="слово",D58,"")</f>
        <v/>
      </c>
    </row>
    <row r="59" customFormat="false" ht="15" hidden="false" customHeight="false" outlineLevel="0" collapsed="false">
      <c r="A59" s="4" t="s">
        <v>1556</v>
      </c>
      <c r="B59" s="4" t="s">
        <v>1561</v>
      </c>
      <c r="C59" s="4" t="s">
        <v>1460</v>
      </c>
      <c r="D59" s="4" t="s">
        <v>1562</v>
      </c>
      <c r="E59" s="4" t="s">
        <v>1559</v>
      </c>
      <c r="F59" s="4" t="str">
        <f aca="false">IF(C59="слово",D59,"")</f>
        <v/>
      </c>
    </row>
    <row r="60" customFormat="false" ht="15" hidden="false" customHeight="false" outlineLevel="0" collapsed="false">
      <c r="A60" s="4" t="s">
        <v>1556</v>
      </c>
      <c r="B60" s="4" t="s">
        <v>1563</v>
      </c>
      <c r="C60" s="4" t="s">
        <v>1440</v>
      </c>
      <c r="D60" s="4" t="s">
        <v>1564</v>
      </c>
      <c r="E60" s="4" t="s">
        <v>1559</v>
      </c>
      <c r="F60" s="4" t="str">
        <f aca="false">IF(C60="слово",D60,"")</f>
        <v>-оверлок</v>
      </c>
    </row>
    <row r="61" customFormat="false" ht="15" hidden="false" customHeight="false" outlineLevel="0" collapsed="false">
      <c r="A61" s="4" t="s">
        <v>1556</v>
      </c>
      <c r="B61" s="4" t="s">
        <v>1565</v>
      </c>
      <c r="C61" s="4" t="s">
        <v>1440</v>
      </c>
      <c r="D61" s="4" t="s">
        <v>1566</v>
      </c>
      <c r="E61" s="4" t="s">
        <v>1559</v>
      </c>
      <c r="F61" s="4" t="str">
        <f aca="false">IF(C61="слово",D61,"")</f>
        <v>-запчасти</v>
      </c>
    </row>
    <row r="62" customFormat="false" ht="15" hidden="false" customHeight="false" outlineLevel="0" collapsed="false">
      <c r="A62" s="4" t="s">
        <v>1556</v>
      </c>
      <c r="B62" s="4" t="s">
        <v>1567</v>
      </c>
      <c r="C62" s="4" t="s">
        <v>1440</v>
      </c>
      <c r="D62" s="4" t="s">
        <v>1568</v>
      </c>
      <c r="E62" s="4" t="s">
        <v>1559</v>
      </c>
      <c r="F62" s="4" t="str">
        <f aca="false">IF(C62="слово",D62,"")</f>
        <v>-иглы</v>
      </c>
    </row>
    <row r="63" customFormat="false" ht="15" hidden="false" customHeight="false" outlineLevel="0" collapsed="false">
      <c r="A63" s="4" t="s">
        <v>1556</v>
      </c>
      <c r="B63" s="4" t="s">
        <v>1569</v>
      </c>
      <c r="C63" s="4" t="s">
        <v>1440</v>
      </c>
      <c r="D63" s="4" t="s">
        <v>1570</v>
      </c>
      <c r="E63" s="4" t="s">
        <v>1559</v>
      </c>
      <c r="F63" s="4" t="str">
        <f aca="false">IF(C63="слово",D63,"")</f>
        <v>-нитки</v>
      </c>
    </row>
    <row r="64" customFormat="false" ht="15" hidden="false" customHeight="false" outlineLevel="0" collapsed="false">
      <c r="A64" s="4" t="s">
        <v>1556</v>
      </c>
      <c r="B64" s="4" t="s">
        <v>1571</v>
      </c>
      <c r="C64" s="4" t="s">
        <v>1440</v>
      </c>
      <c r="D64" s="4" t="s">
        <v>1572</v>
      </c>
      <c r="E64" s="4" t="s">
        <v>1559</v>
      </c>
      <c r="F64" s="4" t="str">
        <f aca="false">IF(C64="слово",D64,"")</f>
        <v>-фурнитура</v>
      </c>
    </row>
    <row r="65" customFormat="false" ht="15" hidden="false" customHeight="false" outlineLevel="0" collapsed="false">
      <c r="A65" s="4" t="s">
        <v>1556</v>
      </c>
      <c r="B65" s="4" t="s">
        <v>1573</v>
      </c>
      <c r="C65" s="4" t="s">
        <v>1460</v>
      </c>
      <c r="D65" s="4" t="s">
        <v>1574</v>
      </c>
      <c r="E65" s="4" t="s">
        <v>1559</v>
      </c>
      <c r="F65" s="4" t="str">
        <f aca="false">IF(C65="слово",D65,"")</f>
        <v/>
      </c>
    </row>
    <row r="66" customFormat="false" ht="15" hidden="false" customHeight="false" outlineLevel="0" collapsed="false">
      <c r="A66" s="4" t="s">
        <v>1556</v>
      </c>
      <c r="B66" s="4" t="s">
        <v>1575</v>
      </c>
      <c r="C66" s="4" t="s">
        <v>1460</v>
      </c>
      <c r="D66" s="4" t="s">
        <v>1576</v>
      </c>
      <c r="E66" s="4" t="s">
        <v>1559</v>
      </c>
      <c r="F66" s="4" t="str">
        <f aca="false">IF(C66="слово",D66,"")</f>
        <v/>
      </c>
    </row>
    <row r="67" customFormat="false" ht="15" hidden="false" customHeight="false" outlineLevel="0" collapsed="false">
      <c r="A67" s="4" t="s">
        <v>1556</v>
      </c>
      <c r="B67" s="4" t="s">
        <v>1577</v>
      </c>
      <c r="C67" s="4" t="s">
        <v>1460</v>
      </c>
      <c r="D67" s="4" t="s">
        <v>1578</v>
      </c>
      <c r="E67" s="4" t="s">
        <v>1559</v>
      </c>
      <c r="F67" s="4" t="str">
        <f aca="false">IF(C67="слово",D67,"")</f>
        <v/>
      </c>
    </row>
    <row r="68" customFormat="false" ht="15" hidden="false" customHeight="false" outlineLevel="0" collapsed="false">
      <c r="A68" s="4" t="s">
        <v>1556</v>
      </c>
      <c r="B68" s="4" t="s">
        <v>1579</v>
      </c>
      <c r="C68" s="4" t="s">
        <v>1460</v>
      </c>
      <c r="D68" s="4" t="s">
        <v>1580</v>
      </c>
      <c r="E68" s="4" t="s">
        <v>1559</v>
      </c>
      <c r="F68" s="4" t="str">
        <f aca="false">IF(C68="слово",D68,"")</f>
        <v/>
      </c>
    </row>
    <row r="69" customFormat="false" ht="15" hidden="false" customHeight="false" outlineLevel="0" collapsed="false">
      <c r="A69" s="4" t="s">
        <v>1556</v>
      </c>
      <c r="B69" s="4" t="s">
        <v>1581</v>
      </c>
      <c r="C69" s="4" t="s">
        <v>1440</v>
      </c>
      <c r="D69" s="4" t="s">
        <v>1582</v>
      </c>
      <c r="E69" s="4" t="s">
        <v>1559</v>
      </c>
      <c r="F69" s="4" t="str">
        <f aca="false">IF(C69="слово",D69,"")</f>
        <v>-оборудование</v>
      </c>
    </row>
    <row r="70" customFormat="false" ht="15" hidden="false" customHeight="false" outlineLevel="0" collapsed="false">
      <c r="A70" s="4" t="s">
        <v>1556</v>
      </c>
      <c r="B70" s="4" t="s">
        <v>1583</v>
      </c>
      <c r="C70" s="4" t="s">
        <v>1440</v>
      </c>
      <c r="D70" s="4" t="s">
        <v>1584</v>
      </c>
      <c r="E70" s="4" t="s">
        <v>1559</v>
      </c>
      <c r="F70" s="4" t="str">
        <f aca="false">IF(C70="слово",D70,"")</f>
        <v>-б/у</v>
      </c>
    </row>
    <row r="71" customFormat="false" ht="15" hidden="false" customHeight="false" outlineLevel="0" collapsed="false">
      <c r="A71" s="4" t="s">
        <v>1556</v>
      </c>
      <c r="B71" s="4" t="s">
        <v>1585</v>
      </c>
      <c r="C71" s="4" t="s">
        <v>1440</v>
      </c>
      <c r="D71" s="4" t="s">
        <v>1586</v>
      </c>
      <c r="E71" s="4" t="s">
        <v>1559</v>
      </c>
      <c r="F71" s="4" t="str">
        <f aca="false">IF(C71="слово",D71,"")</f>
        <v>-бу</v>
      </c>
    </row>
    <row r="72" customFormat="false" ht="15" hidden="false" customHeight="false" outlineLevel="0" collapsed="false">
      <c r="A72" s="4" t="s">
        <v>1556</v>
      </c>
      <c r="B72" s="4" t="s">
        <v>1587</v>
      </c>
      <c r="C72" s="4" t="s">
        <v>1440</v>
      </c>
      <c r="D72" s="4" t="s">
        <v>1588</v>
      </c>
      <c r="E72" s="4" t="s">
        <v>1559</v>
      </c>
      <c r="F72" s="4" t="str">
        <f aca="false">IF(C72="слово",D72,"")</f>
        <v>-станок</v>
      </c>
    </row>
    <row r="73" customFormat="false" ht="15" hidden="false" customHeight="false" outlineLevel="0" collapsed="false">
      <c r="A73" s="4" t="s">
        <v>1556</v>
      </c>
      <c r="B73" s="4" t="s">
        <v>1589</v>
      </c>
      <c r="C73" s="4" t="s">
        <v>1440</v>
      </c>
      <c r="D73" s="4" t="s">
        <v>1590</v>
      </c>
      <c r="E73" s="4" t="s">
        <v>1559</v>
      </c>
      <c r="F73" s="4" t="str">
        <f aca="false">IF(C73="слово",D73,"")</f>
        <v>-станки</v>
      </c>
    </row>
    <row r="74" customFormat="false" ht="15" hidden="false" customHeight="false" outlineLevel="0" collapsed="false">
      <c r="A74" s="4" t="s">
        <v>1556</v>
      </c>
      <c r="B74" s="4" t="s">
        <v>1591</v>
      </c>
      <c r="C74" s="4" t="s">
        <v>1460</v>
      </c>
      <c r="D74" s="4" t="s">
        <v>1592</v>
      </c>
      <c r="E74" s="4" t="s">
        <v>1559</v>
      </c>
      <c r="F74" s="4" t="str">
        <f aca="false">IF(C74="слово",D74,"")</f>
        <v/>
      </c>
    </row>
    <row r="75" customFormat="false" ht="15" hidden="false" customHeight="false" outlineLevel="0" collapsed="false">
      <c r="A75" s="4" t="s">
        <v>1556</v>
      </c>
      <c r="B75" s="4" t="s">
        <v>1593</v>
      </c>
      <c r="C75" s="4" t="s">
        <v>1460</v>
      </c>
      <c r="D75" s="4" t="s">
        <v>1594</v>
      </c>
      <c r="E75" s="4" t="s">
        <v>1559</v>
      </c>
      <c r="F75" s="4" t="str">
        <f aca="false">IF(C75="слово",D75,"")</f>
        <v/>
      </c>
    </row>
    <row r="76" customFormat="false" ht="15" hidden="false" customHeight="false" outlineLevel="0" collapsed="false">
      <c r="A76" s="4" t="s">
        <v>1556</v>
      </c>
      <c r="B76" s="4" t="s">
        <v>1595</v>
      </c>
      <c r="C76" s="4" t="s">
        <v>1460</v>
      </c>
      <c r="D76" s="4" t="s">
        <v>1596</v>
      </c>
      <c r="E76" s="4" t="s">
        <v>1559</v>
      </c>
      <c r="F76" s="4" t="str">
        <f aca="false">IF(C76="слово",D76,"")</f>
        <v/>
      </c>
    </row>
    <row r="77" customFormat="false" ht="15" hidden="false" customHeight="false" outlineLevel="0" collapsed="false">
      <c r="A77" s="4" t="s">
        <v>1556</v>
      </c>
      <c r="B77" s="4" t="s">
        <v>1597</v>
      </c>
      <c r="C77" s="4" t="s">
        <v>1460</v>
      </c>
      <c r="D77" s="4" t="s">
        <v>1598</v>
      </c>
      <c r="E77" s="4" t="s">
        <v>1559</v>
      </c>
      <c r="F77" s="4" t="str">
        <f aca="false">IF(C77="слово",D77,"")</f>
        <v/>
      </c>
    </row>
    <row r="78" customFormat="false" ht="15" hidden="false" customHeight="false" outlineLevel="0" collapsed="false">
      <c r="A78" s="4" t="s">
        <v>1556</v>
      </c>
      <c r="B78" s="4" t="s">
        <v>1599</v>
      </c>
      <c r="C78" s="4" t="s">
        <v>1460</v>
      </c>
      <c r="D78" s="4" t="s">
        <v>1600</v>
      </c>
      <c r="E78" s="4" t="s">
        <v>1559</v>
      </c>
      <c r="F78" s="4" t="str">
        <f aca="false">IF(C78="слово",D78,"")</f>
        <v/>
      </c>
    </row>
    <row r="79" customFormat="false" ht="23.85" hidden="false" customHeight="false" outlineLevel="0" collapsed="false">
      <c r="A79" s="4" t="s">
        <v>1556</v>
      </c>
      <c r="B79" s="4" t="s">
        <v>1601</v>
      </c>
      <c r="C79" s="4" t="s">
        <v>1440</v>
      </c>
      <c r="D79" s="4" t="s">
        <v>1602</v>
      </c>
      <c r="E79" s="4" t="s">
        <v>1559</v>
      </c>
      <c r="F79" s="4" t="str">
        <f aca="false">IF(C79="слово",D79,"")</f>
        <v>-швейно-вышивальная</v>
      </c>
    </row>
    <row r="80" customFormat="false" ht="15" hidden="false" customHeight="false" outlineLevel="0" collapsed="false">
      <c r="A80" s="4" t="s">
        <v>1556</v>
      </c>
      <c r="B80" s="4" t="s">
        <v>1603</v>
      </c>
      <c r="C80" s="4" t="s">
        <v>1440</v>
      </c>
      <c r="D80" s="4" t="s">
        <v>1604</v>
      </c>
      <c r="E80" s="4" t="s">
        <v>1559</v>
      </c>
      <c r="F80" s="4" t="str">
        <f aca="false">IF(C80="слово",D80,"")</f>
        <v>-принтер</v>
      </c>
    </row>
    <row r="81" customFormat="false" ht="15" hidden="false" customHeight="false" outlineLevel="0" collapsed="false">
      <c r="A81" s="4" t="s">
        <v>1556</v>
      </c>
      <c r="B81" s="4" t="s">
        <v>1605</v>
      </c>
      <c r="C81" s="4" t="s">
        <v>1440</v>
      </c>
      <c r="D81" s="4" t="s">
        <v>1606</v>
      </c>
      <c r="E81" s="4" t="s">
        <v>1559</v>
      </c>
      <c r="F81" s="4" t="str">
        <f aca="false">IF(C81="слово",D81,"")</f>
        <v>-плоттер</v>
      </c>
    </row>
    <row r="82" customFormat="false" ht="15" hidden="false" customHeight="false" outlineLevel="0" collapsed="false">
      <c r="A82" s="4" t="s">
        <v>1556</v>
      </c>
      <c r="B82" s="4" t="s">
        <v>1607</v>
      </c>
      <c r="C82" s="4" t="s">
        <v>1440</v>
      </c>
      <c r="D82" s="4" t="s">
        <v>1608</v>
      </c>
      <c r="E82" s="4" t="s">
        <v>1559</v>
      </c>
      <c r="F82" s="4" t="str">
        <f aca="false">IF(C82="слово",D82,"")</f>
        <v>-программа</v>
      </c>
    </row>
    <row r="83" customFormat="false" ht="15" hidden="false" customHeight="false" outlineLevel="0" collapsed="false">
      <c r="A83" s="4" t="s">
        <v>1556</v>
      </c>
      <c r="B83" s="4" t="s">
        <v>1609</v>
      </c>
      <c r="C83" s="4" t="s">
        <v>1440</v>
      </c>
      <c r="D83" s="4" t="s">
        <v>1610</v>
      </c>
      <c r="E83" s="4" t="s">
        <v>1559</v>
      </c>
      <c r="F83" s="4" t="str">
        <f aca="false">IF(C83="слово",D83,"")</f>
        <v>-ткань</v>
      </c>
    </row>
    <row r="84" customFormat="false" ht="15" hidden="false" customHeight="false" outlineLevel="0" collapsed="false">
      <c r="A84" s="4" t="s">
        <v>1556</v>
      </c>
      <c r="B84" s="4" t="s">
        <v>1611</v>
      </c>
      <c r="C84" s="4" t="s">
        <v>1440</v>
      </c>
      <c r="D84" s="4" t="s">
        <v>1612</v>
      </c>
      <c r="E84" s="4" t="s">
        <v>1559</v>
      </c>
      <c r="F84" s="4" t="str">
        <f aca="false">IF(C84="слово",D84,"")</f>
        <v>-ткани</v>
      </c>
    </row>
    <row r="85" customFormat="false" ht="15" hidden="false" customHeight="false" outlineLevel="0" collapsed="false">
      <c r="A85" s="4" t="s">
        <v>1613</v>
      </c>
      <c r="B85" s="4" t="s">
        <v>1614</v>
      </c>
      <c r="C85" s="4" t="s">
        <v>1440</v>
      </c>
      <c r="D85" s="4" t="s">
        <v>1615</v>
      </c>
      <c r="E85" s="4" t="s">
        <v>1616</v>
      </c>
      <c r="F85" s="4" t="str">
        <f aca="false">IF(C85="слово",D85,"")</f>
        <v>-бизнес-план</v>
      </c>
    </row>
    <row r="86" customFormat="false" ht="15" hidden="false" customHeight="false" outlineLevel="0" collapsed="false">
      <c r="A86" s="4" t="s">
        <v>1613</v>
      </c>
      <c r="B86" s="4" t="s">
        <v>1617</v>
      </c>
      <c r="C86" s="4" t="s">
        <v>1460</v>
      </c>
      <c r="D86" s="4" t="s">
        <v>1618</v>
      </c>
      <c r="E86" s="4" t="s">
        <v>1616</v>
      </c>
      <c r="F86" s="4" t="str">
        <f aca="false">IF(C86="слово",D86,"")</f>
        <v/>
      </c>
    </row>
    <row r="87" customFormat="false" ht="15" hidden="false" customHeight="false" outlineLevel="0" collapsed="false">
      <c r="A87" s="4" t="s">
        <v>1613</v>
      </c>
      <c r="B87" s="4" t="s">
        <v>1619</v>
      </c>
      <c r="C87" s="4" t="s">
        <v>1440</v>
      </c>
      <c r="D87" s="4" t="s">
        <v>1620</v>
      </c>
      <c r="E87" s="4" t="s">
        <v>1616</v>
      </c>
      <c r="F87" s="4" t="str">
        <f aca="false">IF(C87="слово",D87,"")</f>
        <v>-франшиза</v>
      </c>
    </row>
    <row r="88" customFormat="false" ht="15" hidden="false" customHeight="false" outlineLevel="0" collapsed="false">
      <c r="A88" s="4" t="s">
        <v>1613</v>
      </c>
      <c r="B88" s="4" t="s">
        <v>1621</v>
      </c>
      <c r="C88" s="4" t="s">
        <v>1460</v>
      </c>
      <c r="D88" s="4" t="s">
        <v>1622</v>
      </c>
      <c r="E88" s="4" t="s">
        <v>1616</v>
      </c>
      <c r="F88" s="4" t="str">
        <f aca="false">IF(C88="слово",D88,"")</f>
        <v/>
      </c>
    </row>
    <row r="89" customFormat="false" ht="15" hidden="false" customHeight="false" outlineLevel="0" collapsed="false">
      <c r="A89" s="4" t="s">
        <v>1613</v>
      </c>
      <c r="B89" s="4" t="s">
        <v>1623</v>
      </c>
      <c r="C89" s="4" t="s">
        <v>1460</v>
      </c>
      <c r="D89" s="4" t="s">
        <v>1624</v>
      </c>
      <c r="E89" s="4" t="s">
        <v>1616</v>
      </c>
      <c r="F89" s="4" t="str">
        <f aca="false">IF(C89="слово",D89,"")</f>
        <v/>
      </c>
    </row>
    <row r="90" customFormat="false" ht="15" hidden="false" customHeight="false" outlineLevel="0" collapsed="false">
      <c r="A90" s="4" t="s">
        <v>1613</v>
      </c>
      <c r="B90" s="4" t="s">
        <v>1625</v>
      </c>
      <c r="C90" s="4" t="s">
        <v>1460</v>
      </c>
      <c r="D90" s="4" t="s">
        <v>1626</v>
      </c>
      <c r="E90" s="4" t="s">
        <v>1616</v>
      </c>
      <c r="F90" s="4" t="str">
        <f aca="false">IF(C90="слово",D90,"")</f>
        <v/>
      </c>
    </row>
    <row r="91" customFormat="false" ht="15" hidden="false" customHeight="false" outlineLevel="0" collapsed="false">
      <c r="A91" s="4" t="s">
        <v>1613</v>
      </c>
      <c r="B91" s="4" t="s">
        <v>1627</v>
      </c>
      <c r="C91" s="4" t="s">
        <v>1440</v>
      </c>
      <c r="D91" s="4" t="s">
        <v>1628</v>
      </c>
      <c r="E91" s="4" t="s">
        <v>1616</v>
      </c>
      <c r="F91" s="4" t="str">
        <f aca="false">IF(C91="слово",D91,"")</f>
        <v>-помещение</v>
      </c>
    </row>
    <row r="92" customFormat="false" ht="15" hidden="false" customHeight="false" outlineLevel="0" collapsed="false">
      <c r="A92" s="4" t="s">
        <v>1613</v>
      </c>
      <c r="B92" s="4" t="s">
        <v>1629</v>
      </c>
      <c r="C92" s="4" t="s">
        <v>1440</v>
      </c>
      <c r="D92" s="4" t="s">
        <v>1630</v>
      </c>
      <c r="E92" s="4" t="s">
        <v>1616</v>
      </c>
      <c r="F92" s="4" t="str">
        <f aca="false">IF(C92="слово",D92,"")</f>
        <v>-себестоимость</v>
      </c>
    </row>
    <row r="93" customFormat="false" ht="15" hidden="false" customHeight="false" outlineLevel="0" collapsed="false">
      <c r="A93" s="4" t="s">
        <v>1613</v>
      </c>
      <c r="B93" s="4" t="s">
        <v>1631</v>
      </c>
      <c r="C93" s="4" t="s">
        <v>1440</v>
      </c>
      <c r="D93" s="4" t="s">
        <v>1632</v>
      </c>
      <c r="E93" s="4" t="s">
        <v>1616</v>
      </c>
      <c r="F93" s="4" t="str">
        <f aca="false">IF(C93="слово",D93,"")</f>
        <v>-калькуляция</v>
      </c>
    </row>
    <row r="94" customFormat="false" ht="15" hidden="false" customHeight="false" outlineLevel="0" collapsed="false">
      <c r="A94" s="4" t="s">
        <v>1613</v>
      </c>
      <c r="B94" s="4" t="s">
        <v>1633</v>
      </c>
      <c r="C94" s="4" t="s">
        <v>1460</v>
      </c>
      <c r="D94" s="4" t="s">
        <v>1634</v>
      </c>
      <c r="E94" s="4" t="s">
        <v>1616</v>
      </c>
      <c r="F94" s="4" t="str">
        <f aca="false">IF(C94="слово",D94,"")</f>
        <v/>
      </c>
    </row>
    <row r="95" customFormat="false" ht="23.85" hidden="false" customHeight="false" outlineLevel="0" collapsed="false">
      <c r="A95" s="4" t="s">
        <v>1613</v>
      </c>
      <c r="B95" s="4" t="s">
        <v>1635</v>
      </c>
      <c r="C95" s="4" t="s">
        <v>1460</v>
      </c>
      <c r="D95" s="4" t="s">
        <v>1636</v>
      </c>
      <c r="E95" s="4" t="s">
        <v>1616</v>
      </c>
      <c r="F95" s="4" t="str">
        <f aca="false">IF(C95="слово",D95,"")</f>
        <v/>
      </c>
    </row>
    <row r="96" customFormat="false" ht="23.85" hidden="false" customHeight="false" outlineLevel="0" collapsed="false">
      <c r="A96" s="4" t="s">
        <v>1637</v>
      </c>
      <c r="B96" s="4" t="s">
        <v>1638</v>
      </c>
      <c r="C96" s="4" t="s">
        <v>1440</v>
      </c>
      <c r="D96" s="4" t="s">
        <v>1639</v>
      </c>
      <c r="E96" s="4" t="s">
        <v>1640</v>
      </c>
      <c r="F96" s="4" t="str">
        <f aca="false">IF(C96="слово",D96,"")</f>
        <v>-шторы</v>
      </c>
    </row>
    <row r="97" customFormat="false" ht="23.85" hidden="false" customHeight="false" outlineLevel="0" collapsed="false">
      <c r="A97" s="4" t="s">
        <v>1637</v>
      </c>
      <c r="B97" s="4" t="s">
        <v>1641</v>
      </c>
      <c r="C97" s="4" t="s">
        <v>1440</v>
      </c>
      <c r="D97" s="4" t="s">
        <v>1642</v>
      </c>
      <c r="E97" s="4" t="s">
        <v>1640</v>
      </c>
      <c r="F97" s="4" t="str">
        <f aca="false">IF(C97="слово",D97,"")</f>
        <v>-занавески</v>
      </c>
    </row>
    <row r="98" customFormat="false" ht="23.85" hidden="false" customHeight="false" outlineLevel="0" collapsed="false">
      <c r="A98" s="4" t="s">
        <v>1637</v>
      </c>
      <c r="B98" s="4" t="s">
        <v>1643</v>
      </c>
      <c r="C98" s="4" t="s">
        <v>1440</v>
      </c>
      <c r="D98" s="4" t="s">
        <v>1644</v>
      </c>
      <c r="E98" s="4" t="s">
        <v>1640</v>
      </c>
      <c r="F98" s="4" t="str">
        <f aca="false">IF(C98="слово",D98,"")</f>
        <v>-постельное</v>
      </c>
    </row>
    <row r="99" customFormat="false" ht="23.85" hidden="false" customHeight="false" outlineLevel="0" collapsed="false">
      <c r="A99" s="4" t="s">
        <v>1637</v>
      </c>
      <c r="B99" s="4" t="s">
        <v>1645</v>
      </c>
      <c r="C99" s="4" t="s">
        <v>1440</v>
      </c>
      <c r="D99" s="4" t="s">
        <v>1646</v>
      </c>
      <c r="E99" s="4" t="s">
        <v>1640</v>
      </c>
      <c r="F99" s="4" t="str">
        <f aca="false">IF(C99="слово",D99,"")</f>
        <v>-спецодежда</v>
      </c>
    </row>
    <row r="100" customFormat="false" ht="23.85" hidden="false" customHeight="false" outlineLevel="0" collapsed="false">
      <c r="A100" s="4" t="s">
        <v>1637</v>
      </c>
      <c r="B100" s="4" t="s">
        <v>1647</v>
      </c>
      <c r="C100" s="4" t="s">
        <v>1440</v>
      </c>
      <c r="D100" s="4" t="s">
        <v>1648</v>
      </c>
      <c r="E100" s="4" t="s">
        <v>1640</v>
      </c>
      <c r="F100" s="4" t="str">
        <f aca="false">IF(C100="слово",D100,"")</f>
        <v>-униформа</v>
      </c>
    </row>
    <row r="101" customFormat="false" ht="23.85" hidden="false" customHeight="false" outlineLevel="0" collapsed="false">
      <c r="A101" s="4" t="s">
        <v>1637</v>
      </c>
      <c r="B101" s="4" t="s">
        <v>1649</v>
      </c>
      <c r="C101" s="4" t="s">
        <v>1460</v>
      </c>
      <c r="D101" s="4" t="s">
        <v>1650</v>
      </c>
      <c r="E101" s="4" t="s">
        <v>1640</v>
      </c>
      <c r="F101" s="4" t="str">
        <f aca="false">IF(C101="слово",D101,"")</f>
        <v/>
      </c>
    </row>
    <row r="102" customFormat="false" ht="23.85" hidden="false" customHeight="false" outlineLevel="0" collapsed="false">
      <c r="A102" s="4" t="s">
        <v>1637</v>
      </c>
      <c r="B102" s="4" t="s">
        <v>1651</v>
      </c>
      <c r="C102" s="4" t="s">
        <v>1440</v>
      </c>
      <c r="D102" s="4" t="s">
        <v>1652</v>
      </c>
      <c r="E102" s="4" t="s">
        <v>1640</v>
      </c>
      <c r="F102" s="4" t="str">
        <f aca="false">IF(C102="слово",D102,"")</f>
        <v>-собак</v>
      </c>
    </row>
    <row r="103" customFormat="false" ht="23.85" hidden="false" customHeight="false" outlineLevel="0" collapsed="false">
      <c r="A103" s="4" t="s">
        <v>1637</v>
      </c>
      <c r="B103" s="4" t="s">
        <v>1653</v>
      </c>
      <c r="C103" s="4" t="s">
        <v>1440</v>
      </c>
      <c r="D103" s="4" t="s">
        <v>1654</v>
      </c>
      <c r="E103" s="4" t="s">
        <v>1640</v>
      </c>
      <c r="F103" s="4" t="str">
        <f aca="false">IF(C103="слово",D103,"")</f>
        <v>-питомцев</v>
      </c>
    </row>
    <row r="104" customFormat="false" ht="23.85" hidden="false" customHeight="false" outlineLevel="0" collapsed="false">
      <c r="A104" s="4" t="s">
        <v>1637</v>
      </c>
      <c r="B104" s="4" t="s">
        <v>1655</v>
      </c>
      <c r="C104" s="4" t="s">
        <v>1440</v>
      </c>
      <c r="D104" s="4" t="s">
        <v>1656</v>
      </c>
      <c r="E104" s="4" t="s">
        <v>1640</v>
      </c>
      <c r="F104" s="4" t="str">
        <f aca="false">IF(C104="слово",D104,"")</f>
        <v>-игрушки</v>
      </c>
    </row>
    <row r="105" customFormat="false" ht="23.85" hidden="false" customHeight="false" outlineLevel="0" collapsed="false">
      <c r="A105" s="4" t="s">
        <v>1637</v>
      </c>
      <c r="B105" s="4" t="s">
        <v>1657</v>
      </c>
      <c r="C105" s="4" t="s">
        <v>1440</v>
      </c>
      <c r="D105" s="4" t="s">
        <v>1658</v>
      </c>
      <c r="E105" s="4" t="s">
        <v>1640</v>
      </c>
      <c r="F105" s="4" t="str">
        <f aca="false">IF(C105="слово",D105,"")</f>
        <v>-куклы</v>
      </c>
    </row>
    <row r="106" customFormat="false" ht="23.85" hidden="false" customHeight="false" outlineLevel="0" collapsed="false">
      <c r="A106" s="4" t="s">
        <v>1637</v>
      </c>
      <c r="B106" s="4" t="s">
        <v>1659</v>
      </c>
      <c r="C106" s="4" t="s">
        <v>1440</v>
      </c>
      <c r="D106" s="4" t="s">
        <v>1660</v>
      </c>
      <c r="E106" s="4" t="s">
        <v>1640</v>
      </c>
      <c r="F106" s="4" t="str">
        <f aca="false">IF(C106="слово",D106,"")</f>
        <v>-обувь</v>
      </c>
    </row>
    <row r="107" customFormat="false" ht="23.85" hidden="false" customHeight="false" outlineLevel="0" collapsed="false">
      <c r="A107" s="4" t="s">
        <v>1637</v>
      </c>
      <c r="B107" s="4" t="s">
        <v>1661</v>
      </c>
      <c r="C107" s="4" t="s">
        <v>1440</v>
      </c>
      <c r="D107" s="4" t="s">
        <v>1662</v>
      </c>
      <c r="E107" s="4" t="s">
        <v>1640</v>
      </c>
      <c r="F107" s="4" t="str">
        <f aca="false">IF(C107="слово",D107,"")</f>
        <v>-сумки</v>
      </c>
    </row>
    <row r="108" customFormat="false" ht="23.85" hidden="false" customHeight="false" outlineLevel="0" collapsed="false">
      <c r="A108" s="4" t="s">
        <v>1637</v>
      </c>
      <c r="B108" s="4" t="s">
        <v>1663</v>
      </c>
      <c r="C108" s="4" t="s">
        <v>1440</v>
      </c>
      <c r="D108" s="4" t="s">
        <v>1664</v>
      </c>
      <c r="E108" s="4" t="s">
        <v>1640</v>
      </c>
      <c r="F108" s="4" t="str">
        <f aca="false">IF(C108="слово",D108,"")</f>
        <v>-рюкзаки</v>
      </c>
    </row>
    <row r="109" customFormat="false" ht="23.85" hidden="false" customHeight="false" outlineLevel="0" collapsed="false">
      <c r="A109" s="4" t="s">
        <v>1637</v>
      </c>
      <c r="B109" s="4" t="s">
        <v>1665</v>
      </c>
      <c r="C109" s="4" t="s">
        <v>1440</v>
      </c>
      <c r="D109" s="4" t="s">
        <v>1666</v>
      </c>
      <c r="E109" s="4" t="s">
        <v>1640</v>
      </c>
      <c r="F109" s="4" t="str">
        <f aca="false">IF(C109="слово",D109,"")</f>
        <v>-чехлы</v>
      </c>
    </row>
    <row r="110" customFormat="false" ht="23.85" hidden="false" customHeight="false" outlineLevel="0" collapsed="false">
      <c r="A110" s="4" t="s">
        <v>1637</v>
      </c>
      <c r="B110" s="4" t="s">
        <v>1667</v>
      </c>
      <c r="C110" s="4" t="s">
        <v>1440</v>
      </c>
      <c r="D110" s="4" t="s">
        <v>1668</v>
      </c>
      <c r="E110" s="4" t="s">
        <v>1640</v>
      </c>
      <c r="F110" s="4" t="str">
        <f aca="false">IF(C110="слово",D110,"")</f>
        <v>-подушки</v>
      </c>
    </row>
    <row r="111" customFormat="false" ht="23.85" hidden="false" customHeight="false" outlineLevel="0" collapsed="false">
      <c r="A111" s="4" t="s">
        <v>1637</v>
      </c>
      <c r="B111" s="4" t="s">
        <v>1669</v>
      </c>
      <c r="C111" s="4" t="s">
        <v>1440</v>
      </c>
      <c r="D111" s="4" t="s">
        <v>1670</v>
      </c>
      <c r="E111" s="4" t="s">
        <v>1640</v>
      </c>
      <c r="F111" s="4" t="str">
        <f aca="false">IF(C111="слово",D111,"")</f>
        <v>-платки</v>
      </c>
    </row>
    <row r="112" customFormat="false" ht="23.85" hidden="false" customHeight="false" outlineLevel="0" collapsed="false">
      <c r="A112" s="4" t="s">
        <v>1637</v>
      </c>
      <c r="B112" s="4" t="s">
        <v>1671</v>
      </c>
      <c r="C112" s="4" t="s">
        <v>1440</v>
      </c>
      <c r="D112" s="4" t="s">
        <v>1672</v>
      </c>
      <c r="E112" s="4" t="s">
        <v>1640</v>
      </c>
      <c r="F112" s="4" t="str">
        <f aca="false">IF(C112="слово",D112,"")</f>
        <v>-госномеров</v>
      </c>
    </row>
    <row r="113" customFormat="false" ht="23.85" hidden="false" customHeight="false" outlineLevel="0" collapsed="false">
      <c r="A113" s="4" t="s">
        <v>1637</v>
      </c>
      <c r="B113" s="4" t="s">
        <v>1673</v>
      </c>
      <c r="C113" s="4" t="s">
        <v>1440</v>
      </c>
      <c r="D113" s="4" t="s">
        <v>1674</v>
      </c>
      <c r="E113" s="4" t="s">
        <v>1640</v>
      </c>
      <c r="F113" s="4" t="str">
        <f aca="false">IF(C113="слово",D113,"")</f>
        <v>-номеров</v>
      </c>
    </row>
    <row r="114" customFormat="false" ht="15" hidden="false" customHeight="false" outlineLevel="0" collapsed="false">
      <c r="A114" s="4" t="s">
        <v>1675</v>
      </c>
      <c r="B114" s="4" t="s">
        <v>1676</v>
      </c>
      <c r="C114" s="4" t="s">
        <v>1440</v>
      </c>
      <c r="D114" s="4" t="s">
        <v>1677</v>
      </c>
      <c r="E114" s="4" t="s">
        <v>1678</v>
      </c>
      <c r="F114" s="4" t="str">
        <f aca="false">IF(C114="слово",D114,"")</f>
        <v>-купить</v>
      </c>
    </row>
    <row r="115" customFormat="false" ht="15" hidden="false" customHeight="false" outlineLevel="0" collapsed="false">
      <c r="A115" s="4" t="s">
        <v>1675</v>
      </c>
      <c r="B115" s="4" t="s">
        <v>1679</v>
      </c>
      <c r="C115" s="4" t="s">
        <v>1460</v>
      </c>
      <c r="D115" s="4" t="s">
        <v>1680</v>
      </c>
      <c r="E115" s="4" t="s">
        <v>1678</v>
      </c>
      <c r="F115" s="4" t="str">
        <f aca="false">IF(C115="слово",D115,"")</f>
        <v/>
      </c>
    </row>
    <row r="116" customFormat="false" ht="23.85" hidden="false" customHeight="false" outlineLevel="0" collapsed="false">
      <c r="A116" s="4" t="s">
        <v>1675</v>
      </c>
      <c r="B116" s="4" t="s">
        <v>1681</v>
      </c>
      <c r="C116" s="4" t="s">
        <v>1440</v>
      </c>
      <c r="D116" s="4" t="s">
        <v>1682</v>
      </c>
      <c r="E116" s="4" t="s">
        <v>1678</v>
      </c>
      <c r="F116" s="4" t="str">
        <f aca="false">IF(C116="слово",D116,"")</f>
        <v>-интернет-магазин</v>
      </c>
    </row>
    <row r="117" customFormat="false" ht="15" hidden="false" customHeight="false" outlineLevel="0" collapsed="false">
      <c r="A117" s="4" t="s">
        <v>1675</v>
      </c>
      <c r="B117" s="4" t="s">
        <v>1683</v>
      </c>
      <c r="C117" s="4" t="s">
        <v>1460</v>
      </c>
      <c r="D117" s="4" t="s">
        <v>1684</v>
      </c>
      <c r="E117" s="4" t="s">
        <v>1678</v>
      </c>
      <c r="F117" s="4" t="str">
        <f aca="false">IF(C117="слово",D117,"")</f>
        <v/>
      </c>
    </row>
    <row r="118" customFormat="false" ht="15" hidden="false" customHeight="false" outlineLevel="0" collapsed="false">
      <c r="A118" s="4" t="s">
        <v>1675</v>
      </c>
      <c r="B118" s="4" t="s">
        <v>1685</v>
      </c>
      <c r="C118" s="4" t="s">
        <v>1440</v>
      </c>
      <c r="D118" s="4" t="s">
        <v>1686</v>
      </c>
      <c r="E118" s="4" t="s">
        <v>1678</v>
      </c>
      <c r="F118" s="4" t="str">
        <f aca="false">IF(C118="слово",D118,"")</f>
        <v>-магазин</v>
      </c>
    </row>
    <row r="119" customFormat="false" ht="15" hidden="false" customHeight="false" outlineLevel="0" collapsed="false">
      <c r="A119" s="4" t="s">
        <v>1675</v>
      </c>
      <c r="B119" s="4" t="s">
        <v>1687</v>
      </c>
      <c r="C119" s="4" t="s">
        <v>1440</v>
      </c>
      <c r="D119" s="4" t="s">
        <v>1688</v>
      </c>
      <c r="E119" s="4" t="s">
        <v>1678</v>
      </c>
      <c r="F119" s="4" t="str">
        <f aca="false">IF(C119="слово",D119,"")</f>
        <v>-авито</v>
      </c>
    </row>
    <row r="120" customFormat="false" ht="15" hidden="false" customHeight="false" outlineLevel="0" collapsed="false">
      <c r="A120" s="4" t="s">
        <v>1675</v>
      </c>
      <c r="B120" s="4" t="s">
        <v>1689</v>
      </c>
      <c r="C120" s="4" t="s">
        <v>1440</v>
      </c>
      <c r="D120" s="4" t="s">
        <v>1690</v>
      </c>
      <c r="E120" s="4" t="s">
        <v>1678</v>
      </c>
      <c r="F120" s="4" t="str">
        <f aca="false">IF(C120="слово",D120,"")</f>
        <v>-секонд</v>
      </c>
    </row>
    <row r="121" customFormat="false" ht="15" hidden="false" customHeight="false" outlineLevel="0" collapsed="false">
      <c r="A121" s="4" t="s">
        <v>1675</v>
      </c>
      <c r="B121" s="4" t="s">
        <v>1691</v>
      </c>
      <c r="C121" s="4" t="s">
        <v>1440</v>
      </c>
      <c r="D121" s="4" t="s">
        <v>1692</v>
      </c>
      <c r="E121" s="4" t="s">
        <v>1678</v>
      </c>
      <c r="F121" s="4" t="str">
        <f aca="false">IF(C121="слово",D121,"")</f>
        <v>-ломбард</v>
      </c>
    </row>
    <row r="122" customFormat="false" ht="23.85" hidden="false" customHeight="false" outlineLevel="0" collapsed="false">
      <c r="A122" s="4" t="s">
        <v>1693</v>
      </c>
      <c r="B122" s="4" t="s">
        <v>1694</v>
      </c>
      <c r="C122" s="4" t="s">
        <v>1440</v>
      </c>
      <c r="D122" s="4" t="s">
        <v>1695</v>
      </c>
      <c r="E122" s="4" t="s">
        <v>1696</v>
      </c>
      <c r="F122" s="4" t="str">
        <f aca="false">IF(C122="слово",D122,"")</f>
        <v>-отзывы</v>
      </c>
    </row>
    <row r="123" customFormat="false" ht="23.85" hidden="false" customHeight="false" outlineLevel="0" collapsed="false">
      <c r="A123" s="4" t="s">
        <v>1693</v>
      </c>
      <c r="B123" s="4" t="s">
        <v>1697</v>
      </c>
      <c r="C123" s="4" t="s">
        <v>1440</v>
      </c>
      <c r="D123" s="4" t="s">
        <v>1698</v>
      </c>
      <c r="E123" s="4" t="s">
        <v>1696</v>
      </c>
      <c r="F123" s="4" t="str">
        <f aca="false">IF(C123="слово",D123,"")</f>
        <v>-фото</v>
      </c>
    </row>
    <row r="124" customFormat="false" ht="23.85" hidden="false" customHeight="false" outlineLevel="0" collapsed="false">
      <c r="A124" s="4" t="s">
        <v>1693</v>
      </c>
      <c r="B124" s="4" t="s">
        <v>1699</v>
      </c>
      <c r="C124" s="4" t="s">
        <v>1440</v>
      </c>
      <c r="D124" s="4" t="s">
        <v>1700</v>
      </c>
      <c r="E124" s="4" t="s">
        <v>1696</v>
      </c>
      <c r="F124" s="4" t="str">
        <f aca="false">IF(C124="слово",D124,"")</f>
        <v>-картинки</v>
      </c>
    </row>
    <row r="125" customFormat="false" ht="23.85" hidden="false" customHeight="false" outlineLevel="0" collapsed="false">
      <c r="A125" s="4" t="s">
        <v>1693</v>
      </c>
      <c r="B125" s="4" t="s">
        <v>1502</v>
      </c>
      <c r="C125" s="4" t="s">
        <v>1440</v>
      </c>
      <c r="D125" s="4" t="s">
        <v>1503</v>
      </c>
      <c r="E125" s="4" t="s">
        <v>1696</v>
      </c>
      <c r="F125" s="4" t="str">
        <f aca="false">IF(C125="слово",D125,"")</f>
        <v>-реферат</v>
      </c>
    </row>
    <row r="126" customFormat="false" ht="23.85" hidden="false" customHeight="false" outlineLevel="0" collapsed="false">
      <c r="A126" s="4" t="s">
        <v>1693</v>
      </c>
      <c r="B126" s="4" t="s">
        <v>1701</v>
      </c>
      <c r="C126" s="4" t="s">
        <v>1440</v>
      </c>
      <c r="D126" s="4" t="s">
        <v>1702</v>
      </c>
      <c r="E126" s="4" t="s">
        <v>1696</v>
      </c>
      <c r="F126" s="4" t="str">
        <f aca="false">IF(C126="слово",D126,"")</f>
        <v>-википедия</v>
      </c>
    </row>
    <row r="127" customFormat="false" ht="23.85" hidden="false" customHeight="false" outlineLevel="0" collapsed="false">
      <c r="A127" s="4" t="s">
        <v>1693</v>
      </c>
      <c r="B127" s="4" t="s">
        <v>1703</v>
      </c>
      <c r="C127" s="4" t="s">
        <v>1460</v>
      </c>
      <c r="D127" s="4" t="s">
        <v>1704</v>
      </c>
      <c r="E127" s="4" t="s">
        <v>1696</v>
      </c>
      <c r="F127" s="4" t="str">
        <f aca="false">IF(C127="слово",D127,"")</f>
        <v/>
      </c>
    </row>
    <row r="128" customFormat="false" ht="23.85" hidden="false" customHeight="false" outlineLevel="0" collapsed="false">
      <c r="A128" s="4" t="s">
        <v>1693</v>
      </c>
      <c r="B128" s="4" t="s">
        <v>1705</v>
      </c>
      <c r="C128" s="4" t="s">
        <v>1440</v>
      </c>
      <c r="D128" s="4" t="s">
        <v>1706</v>
      </c>
      <c r="E128" s="4" t="s">
        <v>1696</v>
      </c>
      <c r="F128" s="4" t="str">
        <f aca="false">IF(C128="слово",D128,"")</f>
        <v>-это</v>
      </c>
    </row>
    <row r="129" customFormat="false" ht="23.85" hidden="false" customHeight="false" outlineLevel="0" collapsed="false">
      <c r="A129" s="4" t="s">
        <v>1693</v>
      </c>
      <c r="B129" s="4" t="s">
        <v>1707</v>
      </c>
      <c r="C129" s="4" t="s">
        <v>1460</v>
      </c>
      <c r="D129" s="4" t="s">
        <v>1708</v>
      </c>
      <c r="E129" s="4" t="s">
        <v>1696</v>
      </c>
      <c r="F129" s="4" t="str">
        <f aca="false">IF(C129="слово",D129,"")</f>
        <v/>
      </c>
    </row>
    <row r="130" customFormat="false" ht="23.85" hidden="false" customHeight="false" outlineLevel="0" collapsed="false">
      <c r="A130" s="4" t="s">
        <v>1693</v>
      </c>
      <c r="B130" s="4" t="s">
        <v>1709</v>
      </c>
      <c r="C130" s="4" t="s">
        <v>1440</v>
      </c>
      <c r="D130" s="4" t="s">
        <v>1710</v>
      </c>
      <c r="E130" s="4" t="s">
        <v>1696</v>
      </c>
      <c r="F130" s="4" t="str">
        <f aca="false">IF(C130="слово",D130,"")</f>
        <v>-означает</v>
      </c>
    </row>
    <row r="131" customFormat="false" ht="23.85" hidden="false" customHeight="false" outlineLevel="0" collapsed="false">
      <c r="A131" s="4" t="s">
        <v>1693</v>
      </c>
      <c r="B131" s="4" t="s">
        <v>1711</v>
      </c>
      <c r="C131" s="4" t="s">
        <v>1440</v>
      </c>
      <c r="D131" s="4" t="s">
        <v>1712</v>
      </c>
      <c r="E131" s="4" t="s">
        <v>1696</v>
      </c>
      <c r="F131" s="4" t="str">
        <f aca="false">IF(C131="слово",D131,"")</f>
        <v>-название</v>
      </c>
    </row>
    <row r="132" customFormat="false" ht="23.85" hidden="false" customHeight="false" outlineLevel="0" collapsed="false">
      <c r="A132" s="4" t="s">
        <v>1693</v>
      </c>
      <c r="B132" s="4" t="s">
        <v>1713</v>
      </c>
      <c r="C132" s="4" t="s">
        <v>1440</v>
      </c>
      <c r="D132" s="4" t="s">
        <v>1714</v>
      </c>
      <c r="E132" s="4" t="s">
        <v>1696</v>
      </c>
      <c r="F132" s="4" t="str">
        <f aca="false">IF(C132="слово",D132,"")</f>
        <v>-называется</v>
      </c>
    </row>
    <row r="133" customFormat="false" ht="23.85" hidden="false" customHeight="false" outlineLevel="0" collapsed="false">
      <c r="A133" s="4" t="s">
        <v>1693</v>
      </c>
      <c r="B133" s="4" t="s">
        <v>1715</v>
      </c>
      <c r="C133" s="4" t="s">
        <v>1440</v>
      </c>
      <c r="D133" s="4" t="s">
        <v>1716</v>
      </c>
      <c r="E133" s="4" t="s">
        <v>1696</v>
      </c>
      <c r="F133" s="4" t="str">
        <f aca="false">IF(C133="слово",D133,"")</f>
        <v>-классификация</v>
      </c>
    </row>
    <row r="134" customFormat="false" ht="23.85" hidden="false" customHeight="false" outlineLevel="0" collapsed="false">
      <c r="A134" s="4" t="s">
        <v>1693</v>
      </c>
      <c r="B134" s="4" t="s">
        <v>1717</v>
      </c>
      <c r="C134" s="4" t="s">
        <v>1440</v>
      </c>
      <c r="D134" s="4" t="s">
        <v>1718</v>
      </c>
      <c r="E134" s="4" t="s">
        <v>1696</v>
      </c>
      <c r="F134" s="4" t="str">
        <f aca="false">IF(C134="слово",D134,"")</f>
        <v>-история</v>
      </c>
    </row>
    <row r="135" customFormat="false" ht="23.85" hidden="false" customHeight="false" outlineLevel="0" collapsed="false">
      <c r="A135" s="4" t="s">
        <v>1693</v>
      </c>
      <c r="B135" s="4" t="s">
        <v>1719</v>
      </c>
      <c r="C135" s="4" t="s">
        <v>1440</v>
      </c>
      <c r="D135" s="4" t="s">
        <v>1720</v>
      </c>
      <c r="E135" s="4" t="s">
        <v>1696</v>
      </c>
      <c r="F135" s="4" t="str">
        <f aca="false">IF(C135="слово",D135,"")</f>
        <v>-курсовая</v>
      </c>
    </row>
    <row r="136" customFormat="false" ht="23.85" hidden="false" customHeight="false" outlineLevel="0" collapsed="false">
      <c r="A136" s="4" t="s">
        <v>1693</v>
      </c>
      <c r="B136" s="4" t="s">
        <v>1721</v>
      </c>
      <c r="C136" s="4" t="s">
        <v>1440</v>
      </c>
      <c r="D136" s="4" t="s">
        <v>1722</v>
      </c>
      <c r="E136" s="4" t="s">
        <v>1696</v>
      </c>
      <c r="F136" s="4" t="str">
        <f aca="false">IF(C136="слово",D136,"")</f>
        <v>-презентация</v>
      </c>
    </row>
    <row r="137" customFormat="false" ht="23.85" hidden="false" customHeight="false" outlineLevel="0" collapsed="false">
      <c r="A137" s="4" t="s">
        <v>1693</v>
      </c>
      <c r="B137" s="4" t="s">
        <v>1723</v>
      </c>
      <c r="C137" s="4" t="s">
        <v>1460</v>
      </c>
      <c r="D137" s="4" t="s">
        <v>1724</v>
      </c>
      <c r="E137" s="4" t="s">
        <v>1696</v>
      </c>
      <c r="F137" s="4" t="str">
        <f aca="false">IF(C137="слово",D137,"")</f>
        <v/>
      </c>
    </row>
    <row r="138" customFormat="false" ht="23.85" hidden="false" customHeight="false" outlineLevel="0" collapsed="false">
      <c r="A138" s="4" t="s">
        <v>1693</v>
      </c>
      <c r="B138" s="4" t="s">
        <v>1725</v>
      </c>
      <c r="C138" s="4" t="s">
        <v>1440</v>
      </c>
      <c r="D138" s="4" t="s">
        <v>1726</v>
      </c>
      <c r="E138" s="4" t="s">
        <v>1696</v>
      </c>
      <c r="F138" s="4" t="str">
        <f aca="false">IF(C138="слово",D138,"")</f>
        <v>-пример</v>
      </c>
    </row>
    <row r="139" customFormat="false" ht="23.85" hidden="false" customHeight="false" outlineLevel="0" collapsed="false">
      <c r="A139" s="4" t="s">
        <v>1693</v>
      </c>
      <c r="B139" s="4" t="s">
        <v>1727</v>
      </c>
      <c r="C139" s="4" t="s">
        <v>1440</v>
      </c>
      <c r="D139" s="4" t="s">
        <v>1728</v>
      </c>
      <c r="E139" s="4" t="s">
        <v>1696</v>
      </c>
      <c r="F139" s="4" t="str">
        <f aca="false">IF(C139="слово",D139,"")</f>
        <v>-примеры</v>
      </c>
    </row>
    <row r="140" customFormat="false" ht="23.85" hidden="false" customHeight="false" outlineLevel="0" collapsed="false">
      <c r="A140" s="4" t="s">
        <v>1693</v>
      </c>
      <c r="B140" s="4" t="s">
        <v>1729</v>
      </c>
      <c r="C140" s="4" t="s">
        <v>1440</v>
      </c>
      <c r="D140" s="4" t="s">
        <v>1730</v>
      </c>
      <c r="E140" s="4" t="s">
        <v>1696</v>
      </c>
      <c r="F140" s="4" t="str">
        <f aca="false">IF(C140="слово",D140,"")</f>
        <v>-виды</v>
      </c>
    </row>
    <row r="141" customFormat="false" ht="23.85" hidden="false" customHeight="false" outlineLevel="0" collapsed="false">
      <c r="A141" s="4" t="s">
        <v>1693</v>
      </c>
      <c r="B141" s="4" t="s">
        <v>1731</v>
      </c>
      <c r="C141" s="4" t="s">
        <v>1460</v>
      </c>
      <c r="D141" s="4" t="s">
        <v>1732</v>
      </c>
      <c r="E141" s="4" t="s">
        <v>1696</v>
      </c>
      <c r="F141" s="4" t="str">
        <f aca="false">IF(C141="слово",D141,"")</f>
        <v/>
      </c>
    </row>
    <row r="142" customFormat="false" ht="23.85" hidden="false" customHeight="false" outlineLevel="0" collapsed="false">
      <c r="A142" s="4" t="s">
        <v>1693</v>
      </c>
      <c r="B142" s="4" t="s">
        <v>1733</v>
      </c>
      <c r="C142" s="4" t="s">
        <v>1440</v>
      </c>
      <c r="D142" s="4" t="s">
        <v>1734</v>
      </c>
      <c r="E142" s="4" t="s">
        <v>1696</v>
      </c>
      <c r="F142" s="4" t="str">
        <f aca="false">IF(C142="слово",D142,"")</f>
        <v>-отличается</v>
      </c>
    </row>
    <row r="143" customFormat="false" ht="23.85" hidden="false" customHeight="false" outlineLevel="0" collapsed="false">
      <c r="A143" s="4" t="s">
        <v>1693</v>
      </c>
      <c r="B143" s="4" t="s">
        <v>1735</v>
      </c>
      <c r="C143" s="4" t="s">
        <v>1440</v>
      </c>
      <c r="D143" s="4" t="s">
        <v>1736</v>
      </c>
      <c r="E143" s="4" t="s">
        <v>1696</v>
      </c>
      <c r="F143" s="4" t="str">
        <f aca="false">IF(C143="слово",D143,"")</f>
        <v>-отличие</v>
      </c>
    </row>
    <row r="144" customFormat="false" ht="23.85" hidden="false" customHeight="false" outlineLevel="0" collapsed="false">
      <c r="A144" s="4" t="s">
        <v>1693</v>
      </c>
      <c r="B144" s="4" t="s">
        <v>1737</v>
      </c>
      <c r="C144" s="4" t="s">
        <v>1440</v>
      </c>
      <c r="D144" s="4" t="s">
        <v>1738</v>
      </c>
      <c r="E144" s="4" t="s">
        <v>1696</v>
      </c>
      <c r="F144" s="4" t="str">
        <f aca="false">IF(C144="слово",D144,"")</f>
        <v>-отличия</v>
      </c>
    </row>
    <row r="145" customFormat="false" ht="23.85" hidden="false" customHeight="false" outlineLevel="0" collapsed="false">
      <c r="A145" s="4" t="s">
        <v>1693</v>
      </c>
      <c r="B145" s="4" t="s">
        <v>1739</v>
      </c>
      <c r="C145" s="4" t="s">
        <v>1440</v>
      </c>
      <c r="D145" s="4" t="s">
        <v>1740</v>
      </c>
      <c r="E145" s="4" t="s">
        <v>1696</v>
      </c>
      <c r="F145" s="4" t="str">
        <f aca="false">IF(C145="слово",D145,"")</f>
        <v>-расшифровка</v>
      </c>
    </row>
    <row r="146" customFormat="false" ht="23.85" hidden="false" customHeight="false" outlineLevel="0" collapsed="false">
      <c r="A146" s="4" t="s">
        <v>1693</v>
      </c>
      <c r="B146" s="4" t="s">
        <v>1741</v>
      </c>
      <c r="C146" s="4" t="s">
        <v>1440</v>
      </c>
      <c r="D146" s="4" t="s">
        <v>1742</v>
      </c>
      <c r="E146" s="4" t="s">
        <v>1696</v>
      </c>
      <c r="F146" s="4" t="str">
        <f aca="false">IF(C146="слово",D146,"")</f>
        <v>-значение</v>
      </c>
    </row>
    <row r="147" customFormat="false" ht="23.85" hidden="false" customHeight="false" outlineLevel="0" collapsed="false">
      <c r="A147" s="4" t="s">
        <v>1693</v>
      </c>
      <c r="B147" s="4" t="s">
        <v>1743</v>
      </c>
      <c r="C147" s="4" t="s">
        <v>1440</v>
      </c>
      <c r="D147" s="4" t="s">
        <v>1744</v>
      </c>
      <c r="E147" s="4" t="s">
        <v>1696</v>
      </c>
      <c r="F147" s="4" t="str">
        <f aca="false">IF(C147="слово",D147,"")</f>
        <v>-обозначение</v>
      </c>
    </row>
    <row r="148" customFormat="false" ht="23.85" hidden="false" customHeight="false" outlineLevel="0" collapsed="false">
      <c r="A148" s="4" t="s">
        <v>1693</v>
      </c>
      <c r="B148" s="4" t="s">
        <v>1745</v>
      </c>
      <c r="C148" s="4" t="s">
        <v>1440</v>
      </c>
      <c r="D148" s="4" t="s">
        <v>1746</v>
      </c>
      <c r="E148" s="4" t="s">
        <v>1696</v>
      </c>
      <c r="F148" s="4" t="str">
        <f aca="false">IF(C148="слово",D148,"")</f>
        <v>-обозначения</v>
      </c>
    </row>
    <row r="149" customFormat="false" ht="23.85" hidden="false" customHeight="false" outlineLevel="0" collapsed="false">
      <c r="A149" s="4" t="s">
        <v>1693</v>
      </c>
      <c r="B149" s="4" t="s">
        <v>1747</v>
      </c>
      <c r="C149" s="4" t="s">
        <v>1440</v>
      </c>
      <c r="D149" s="4" t="s">
        <v>1748</v>
      </c>
      <c r="E149" s="4" t="s">
        <v>1696</v>
      </c>
      <c r="F149" s="4" t="str">
        <f aca="false">IF(C149="слово",D149,"")</f>
        <v>-символы</v>
      </c>
    </row>
    <row r="150" customFormat="false" ht="23.85" hidden="false" customHeight="false" outlineLevel="0" collapsed="false">
      <c r="A150" s="4" t="s">
        <v>1693</v>
      </c>
      <c r="B150" s="4" t="s">
        <v>1749</v>
      </c>
      <c r="C150" s="4" t="s">
        <v>1440</v>
      </c>
      <c r="D150" s="4" t="s">
        <v>1750</v>
      </c>
      <c r="E150" s="4" t="s">
        <v>1696</v>
      </c>
      <c r="F150" s="4" t="str">
        <f aca="false">IF(C150="слово",D150,"")</f>
        <v>-чей</v>
      </c>
    </row>
    <row r="151" customFormat="false" ht="23.85" hidden="false" customHeight="false" outlineLevel="0" collapsed="false">
      <c r="A151" s="4" t="s">
        <v>1693</v>
      </c>
      <c r="B151" s="4" t="s">
        <v>1751</v>
      </c>
      <c r="C151" s="4" t="s">
        <v>1440</v>
      </c>
      <c r="D151" s="4" t="s">
        <v>1752</v>
      </c>
      <c r="E151" s="4" t="s">
        <v>1696</v>
      </c>
      <c r="F151" s="4" t="str">
        <f aca="false">IF(C151="слово",D151,"")</f>
        <v>-чье</v>
      </c>
    </row>
    <row r="152" customFormat="false" ht="23.85" hidden="false" customHeight="false" outlineLevel="0" collapsed="false">
      <c r="A152" s="4" t="s">
        <v>1693</v>
      </c>
      <c r="B152" s="4" t="s">
        <v>1753</v>
      </c>
      <c r="C152" s="4" t="s">
        <v>1440</v>
      </c>
      <c r="D152" s="4" t="s">
        <v>1754</v>
      </c>
      <c r="E152" s="4" t="s">
        <v>1696</v>
      </c>
      <c r="F152" s="4" t="str">
        <f aca="false">IF(C152="слово",D152,"")</f>
        <v>-чья</v>
      </c>
    </row>
    <row r="153" customFormat="false" ht="23.85" hidden="false" customHeight="false" outlineLevel="0" collapsed="false">
      <c r="A153" s="4" t="s">
        <v>1693</v>
      </c>
      <c r="B153" s="4" t="s">
        <v>1755</v>
      </c>
      <c r="C153" s="4" t="s">
        <v>1440</v>
      </c>
      <c r="D153" s="4" t="s">
        <v>1756</v>
      </c>
      <c r="E153" s="4" t="s">
        <v>1696</v>
      </c>
      <c r="F153" s="4" t="str">
        <f aca="false">IF(C153="слово",D153,"")</f>
        <v>-кроссворд</v>
      </c>
    </row>
    <row r="154" customFormat="false" ht="23.85" hidden="false" customHeight="false" outlineLevel="0" collapsed="false">
      <c r="A154" s="4" t="s">
        <v>1693</v>
      </c>
      <c r="B154" s="4" t="s">
        <v>1757</v>
      </c>
      <c r="C154" s="4" t="s">
        <v>1440</v>
      </c>
      <c r="D154" s="4" t="s">
        <v>1758</v>
      </c>
      <c r="E154" s="4" t="s">
        <v>1696</v>
      </c>
      <c r="F154" s="4" t="str">
        <f aca="false">IF(C154="слово",D154,"")</f>
        <v>-гта</v>
      </c>
    </row>
    <row r="155" customFormat="false" ht="23.85" hidden="false" customHeight="false" outlineLevel="0" collapsed="false">
      <c r="A155" s="4" t="s">
        <v>1693</v>
      </c>
      <c r="B155" s="4" t="s">
        <v>1759</v>
      </c>
      <c r="C155" s="4" t="s">
        <v>1440</v>
      </c>
      <c r="D155" s="4" t="s">
        <v>1760</v>
      </c>
      <c r="E155" s="4" t="s">
        <v>1696</v>
      </c>
      <c r="F155" s="4" t="str">
        <f aca="false">IF(C155="слово",D155,"")</f>
        <v>-игра</v>
      </c>
    </row>
    <row r="156" customFormat="false" ht="23.85" hidden="false" customHeight="false" outlineLevel="0" collapsed="false">
      <c r="A156" s="4" t="s">
        <v>1693</v>
      </c>
      <c r="B156" s="4" t="s">
        <v>1761</v>
      </c>
      <c r="C156" s="4" t="s">
        <v>1440</v>
      </c>
      <c r="D156" s="4" t="s">
        <v>1762</v>
      </c>
      <c r="E156" s="4" t="s">
        <v>1696</v>
      </c>
      <c r="F156" s="4" t="str">
        <f aca="false">IF(C156="слово",D156,"")</f>
        <v>-школа</v>
      </c>
    </row>
    <row r="157" customFormat="false" ht="23.85" hidden="false" customHeight="false" outlineLevel="0" collapsed="false">
      <c r="A157" s="4" t="s">
        <v>1693</v>
      </c>
      <c r="B157" s="4" t="s">
        <v>1763</v>
      </c>
      <c r="C157" s="4" t="s">
        <v>1440</v>
      </c>
      <c r="D157" s="4" t="s">
        <v>1764</v>
      </c>
      <c r="E157" s="4" t="s">
        <v>1696</v>
      </c>
      <c r="F157" s="4" t="str">
        <f aca="false">IF(C157="слово",D157,"")</f>
        <v>-академия</v>
      </c>
    </row>
    <row r="158" customFormat="false" ht="23.85" hidden="false" customHeight="false" outlineLevel="0" collapsed="false">
      <c r="A158" s="4" t="s">
        <v>1693</v>
      </c>
      <c r="B158" s="4" t="s">
        <v>1765</v>
      </c>
      <c r="C158" s="4" t="s">
        <v>1440</v>
      </c>
      <c r="D158" s="4" t="s">
        <v>1766</v>
      </c>
      <c r="E158" s="4" t="s">
        <v>1696</v>
      </c>
      <c r="F158" s="4" t="str">
        <f aca="false">IF(C158="слово",D158,"")</f>
        <v>-кто</v>
      </c>
    </row>
    <row r="159" customFormat="false" ht="23.85" hidden="false" customHeight="false" outlineLevel="0" collapsed="false">
      <c r="A159" s="4" t="s">
        <v>1693</v>
      </c>
      <c r="B159" s="4" t="s">
        <v>1767</v>
      </c>
      <c r="C159" s="4" t="s">
        <v>1440</v>
      </c>
      <c r="D159" s="4" t="s">
        <v>1768</v>
      </c>
      <c r="E159" s="4" t="s">
        <v>1696</v>
      </c>
      <c r="F159" s="4" t="str">
        <f aca="false">IF(C159="слово",D159,"")</f>
        <v>-какая</v>
      </c>
    </row>
    <row r="160" customFormat="false" ht="23.85" hidden="false" customHeight="false" outlineLevel="0" collapsed="false">
      <c r="A160" s="4" t="s">
        <v>1693</v>
      </c>
      <c r="B160" s="4" t="s">
        <v>1769</v>
      </c>
      <c r="C160" s="4" t="s">
        <v>1440</v>
      </c>
      <c r="D160" s="4" t="s">
        <v>1770</v>
      </c>
      <c r="E160" s="4" t="s">
        <v>1696</v>
      </c>
      <c r="F160" s="4" t="str">
        <f aca="false">IF(C160="слово",D160,"")</f>
        <v>-какой</v>
      </c>
    </row>
    <row r="161" customFormat="false" ht="23.85" hidden="false" customHeight="false" outlineLevel="0" collapsed="false">
      <c r="A161" s="4" t="s">
        <v>1693</v>
      </c>
      <c r="B161" s="4" t="s">
        <v>1771</v>
      </c>
      <c r="C161" s="4" t="s">
        <v>1440</v>
      </c>
      <c r="D161" s="4" t="s">
        <v>1772</v>
      </c>
      <c r="E161" s="4" t="s">
        <v>1696</v>
      </c>
      <c r="F161" s="4" t="str">
        <f aca="false">IF(C161="слово",D161,"")</f>
        <v>-какое</v>
      </c>
    </row>
    <row r="162" customFormat="false" ht="23.85" hidden="false" customHeight="false" outlineLevel="0" collapsed="false">
      <c r="A162" s="4" t="s">
        <v>1693</v>
      </c>
      <c r="B162" s="4" t="s">
        <v>1773</v>
      </c>
      <c r="C162" s="4" t="s">
        <v>1440</v>
      </c>
      <c r="D162" s="4" t="s">
        <v>1774</v>
      </c>
      <c r="E162" s="4" t="s">
        <v>1696</v>
      </c>
      <c r="F162" s="4" t="str">
        <f aca="false">IF(C162="слово",D162,"")</f>
        <v>-официальный</v>
      </c>
    </row>
    <row r="163" customFormat="false" ht="23.85" hidden="false" customHeight="false" outlineLevel="0" collapsed="false">
      <c r="A163" s="4" t="s">
        <v>1693</v>
      </c>
      <c r="B163" s="4" t="s">
        <v>1775</v>
      </c>
      <c r="C163" s="4" t="s">
        <v>1440</v>
      </c>
      <c r="D163" s="4" t="s">
        <v>1776</v>
      </c>
      <c r="E163" s="4" t="s">
        <v>1696</v>
      </c>
      <c r="F163" s="4" t="str">
        <f aca="false">IF(C163="слово",D163,"")</f>
        <v>-официальные</v>
      </c>
    </row>
    <row r="164" customFormat="false" ht="23.85" hidden="false" customHeight="false" outlineLevel="0" collapsed="false">
      <c r="A164" s="4" t="s">
        <v>1693</v>
      </c>
      <c r="B164" s="4" t="s">
        <v>1777</v>
      </c>
      <c r="C164" s="4" t="s">
        <v>1440</v>
      </c>
      <c r="D164" s="4" t="s">
        <v>1778</v>
      </c>
      <c r="E164" s="4" t="s">
        <v>1696</v>
      </c>
      <c r="F164" s="4" t="str">
        <f aca="false">IF(C164="слово",D164,"")</f>
        <v>-сайт</v>
      </c>
    </row>
    <row r="165" customFormat="false" ht="23.85" hidden="false" customHeight="false" outlineLevel="0" collapsed="false">
      <c r="A165" s="4" t="s">
        <v>1693</v>
      </c>
      <c r="B165" s="4" t="s">
        <v>1779</v>
      </c>
      <c r="C165" s="4" t="s">
        <v>1440</v>
      </c>
      <c r="D165" s="4" t="s">
        <v>1780</v>
      </c>
      <c r="E165" s="4" t="s">
        <v>1696</v>
      </c>
      <c r="F165" s="4" t="str">
        <f aca="false">IF(C165="слово",D165,"")</f>
        <v>-сайты</v>
      </c>
    </row>
    <row r="166" customFormat="false" ht="23.85" hidden="false" customHeight="false" outlineLevel="0" collapsed="false">
      <c r="A166" s="4" t="s">
        <v>1693</v>
      </c>
      <c r="B166" s="4" t="s">
        <v>1781</v>
      </c>
      <c r="C166" s="4" t="s">
        <v>1440</v>
      </c>
      <c r="D166" s="4" t="s">
        <v>1782</v>
      </c>
      <c r="E166" s="4" t="s">
        <v>1696</v>
      </c>
      <c r="F166" s="4" t="str">
        <f aca="false">IF(C166="слово",D166,"")</f>
        <v>-рядом</v>
      </c>
    </row>
    <row r="167" customFormat="false" ht="23.85" hidden="false" customHeight="false" outlineLevel="0" collapsed="false">
      <c r="A167" s="4" t="s">
        <v>1693</v>
      </c>
      <c r="B167" s="4" t="s">
        <v>1783</v>
      </c>
      <c r="C167" s="4" t="s">
        <v>1460</v>
      </c>
      <c r="D167" s="4" t="s">
        <v>1784</v>
      </c>
      <c r="E167" s="4" t="s">
        <v>1696</v>
      </c>
      <c r="F167" s="4" t="str">
        <f aca="false">IF(C167="слово",D167,"")</f>
        <v/>
      </c>
    </row>
    <row r="168" customFormat="false" ht="23.85" hidden="false" customHeight="false" outlineLevel="0" collapsed="false">
      <c r="A168" s="4" t="s">
        <v>1693</v>
      </c>
      <c r="B168" s="4" t="s">
        <v>1785</v>
      </c>
      <c r="C168" s="4" t="s">
        <v>1440</v>
      </c>
      <c r="D168" s="4" t="s">
        <v>1786</v>
      </c>
      <c r="E168" s="4" t="s">
        <v>1696</v>
      </c>
      <c r="F168" s="4" t="str">
        <f aca="false">IF(C168="слово",D168,"")</f>
        <v>-контакты</v>
      </c>
    </row>
    <row r="169" customFormat="false" ht="23.85" hidden="false" customHeight="false" outlineLevel="0" collapsed="false">
      <c r="A169" s="4" t="s">
        <v>1693</v>
      </c>
      <c r="B169" s="4" t="s">
        <v>1787</v>
      </c>
      <c r="C169" s="4" t="s">
        <v>1440</v>
      </c>
      <c r="D169" s="4" t="s">
        <v>1788</v>
      </c>
      <c r="E169" s="4" t="s">
        <v>1696</v>
      </c>
      <c r="F169" s="4" t="str">
        <f aca="false">IF(C169="слово",D169,"")</f>
        <v>-телефон</v>
      </c>
    </row>
    <row r="170" customFormat="false" ht="23.85" hidden="false" customHeight="false" outlineLevel="0" collapsed="false">
      <c r="A170" s="4" t="s">
        <v>1693</v>
      </c>
      <c r="B170" s="4" t="s">
        <v>1789</v>
      </c>
      <c r="C170" s="4" t="s">
        <v>1440</v>
      </c>
      <c r="D170" s="4" t="s">
        <v>1790</v>
      </c>
      <c r="E170" s="4" t="s">
        <v>1696</v>
      </c>
      <c r="F170" s="4" t="str">
        <f aca="false">IF(C170="слово",D170,"")</f>
        <v>-адрес</v>
      </c>
    </row>
    <row r="171" customFormat="false" ht="23.85" hidden="false" customHeight="false" outlineLevel="0" collapsed="false">
      <c r="A171" s="4" t="s">
        <v>1693</v>
      </c>
      <c r="B171" s="4" t="s">
        <v>1791</v>
      </c>
      <c r="C171" s="4" t="s">
        <v>1440</v>
      </c>
      <c r="D171" s="4" t="s">
        <v>1792</v>
      </c>
      <c r="E171" s="4" t="s">
        <v>1696</v>
      </c>
      <c r="F171" s="4" t="str">
        <f aca="false">IF(C171="слово",D171,"")</f>
        <v>-знаки</v>
      </c>
    </row>
    <row r="172" customFormat="false" ht="23.85" hidden="false" customHeight="false" outlineLevel="0" collapsed="false">
      <c r="A172" s="4" t="s">
        <v>1693</v>
      </c>
      <c r="B172" s="4" t="s">
        <v>1793</v>
      </c>
      <c r="C172" s="4" t="s">
        <v>1440</v>
      </c>
      <c r="D172" s="4" t="s">
        <v>1794</v>
      </c>
      <c r="E172" s="4" t="s">
        <v>1696</v>
      </c>
      <c r="F172" s="4" t="str">
        <f aca="false">IF(C172="слово",D172,"")</f>
        <v>-знак</v>
      </c>
    </row>
    <row r="173" customFormat="false" ht="23.85" hidden="false" customHeight="false" outlineLevel="0" collapsed="false">
      <c r="A173" s="4" t="s">
        <v>1693</v>
      </c>
      <c r="B173" s="4" t="s">
        <v>1795</v>
      </c>
      <c r="C173" s="4" t="s">
        <v>1440</v>
      </c>
      <c r="D173" s="4" t="s">
        <v>1796</v>
      </c>
      <c r="E173" s="4" t="s">
        <v>1696</v>
      </c>
      <c r="F173" s="4" t="str">
        <f aca="false">IF(C173="слово",D173,"")</f>
        <v>-значки</v>
      </c>
    </row>
    <row r="174" customFormat="false" ht="23.85" hidden="false" customHeight="false" outlineLevel="0" collapsed="false">
      <c r="A174" s="4" t="s">
        <v>1693</v>
      </c>
      <c r="B174" s="4" t="s">
        <v>1797</v>
      </c>
      <c r="C174" s="4" t="s">
        <v>1440</v>
      </c>
      <c r="D174" s="4" t="s">
        <v>1798</v>
      </c>
      <c r="E174" s="4" t="s">
        <v>1696</v>
      </c>
      <c r="F174" s="4" t="str">
        <f aca="false">IF(C174="слово",D174,"")</f>
        <v>-стирка</v>
      </c>
    </row>
    <row r="175" customFormat="false" ht="23.85" hidden="false" customHeight="false" outlineLevel="0" collapsed="false">
      <c r="A175" s="4" t="s">
        <v>1693</v>
      </c>
      <c r="B175" s="4" t="s">
        <v>1799</v>
      </c>
      <c r="C175" s="4" t="s">
        <v>1440</v>
      </c>
      <c r="D175" s="4" t="s">
        <v>1800</v>
      </c>
      <c r="E175" s="4" t="s">
        <v>1696</v>
      </c>
      <c r="F175" s="4" t="str">
        <f aca="false">IF(C175="слово",D175,"")</f>
        <v>-стирки</v>
      </c>
    </row>
    <row r="176" customFormat="false" ht="23.85" hidden="false" customHeight="false" outlineLevel="0" collapsed="false">
      <c r="A176" s="4" t="s">
        <v>1693</v>
      </c>
      <c r="B176" s="4" t="s">
        <v>1801</v>
      </c>
      <c r="C176" s="4" t="s">
        <v>1440</v>
      </c>
      <c r="D176" s="4" t="s">
        <v>1802</v>
      </c>
      <c r="E176" s="4" t="s">
        <v>1696</v>
      </c>
      <c r="F176" s="4" t="str">
        <f aca="false">IF(C176="слово",D176,"")</f>
        <v>-стирку</v>
      </c>
    </row>
    <row r="177" customFormat="false" ht="23.85" hidden="false" customHeight="false" outlineLevel="0" collapsed="false">
      <c r="A177" s="4" t="s">
        <v>1693</v>
      </c>
      <c r="B177" s="4" t="s">
        <v>1803</v>
      </c>
      <c r="C177" s="4" t="s">
        <v>1440</v>
      </c>
      <c r="D177" s="4" t="s">
        <v>1804</v>
      </c>
      <c r="E177" s="4" t="s">
        <v>1696</v>
      </c>
      <c r="F177" s="4" t="str">
        <f aca="false">IF(C177="слово",D177,"")</f>
        <v>-температура</v>
      </c>
    </row>
    <row r="178" customFormat="false" ht="23.85" hidden="false" customHeight="false" outlineLevel="0" collapsed="false">
      <c r="A178" s="4" t="s">
        <v>1693</v>
      </c>
      <c r="B178" s="4" t="s">
        <v>1805</v>
      </c>
      <c r="C178" s="4" t="s">
        <v>1440</v>
      </c>
      <c r="D178" s="4" t="s">
        <v>1806</v>
      </c>
      <c r="E178" s="4" t="s">
        <v>1696</v>
      </c>
      <c r="F178" s="4" t="str">
        <f aca="false">IF(C178="слово",D178,"")</f>
        <v>-температуры</v>
      </c>
    </row>
    <row r="179" customFormat="false" ht="23.85" hidden="false" customHeight="false" outlineLevel="0" collapsed="false">
      <c r="A179" s="4" t="s">
        <v>1693</v>
      </c>
      <c r="B179" s="4" t="s">
        <v>1807</v>
      </c>
      <c r="C179" s="4" t="s">
        <v>1440</v>
      </c>
      <c r="D179" s="4" t="s">
        <v>1808</v>
      </c>
      <c r="E179" s="4" t="s">
        <v>1696</v>
      </c>
      <c r="F179" s="4" t="str">
        <f aca="false">IF(C179="слово",D179,"")</f>
        <v>-оквэд</v>
      </c>
    </row>
    <row r="180" customFormat="false" ht="23.85" hidden="false" customHeight="false" outlineLevel="0" collapsed="false">
      <c r="A180" s="4" t="s">
        <v>1693</v>
      </c>
      <c r="B180" s="4" t="s">
        <v>1809</v>
      </c>
      <c r="C180" s="4" t="s">
        <v>1440</v>
      </c>
      <c r="D180" s="4" t="s">
        <v>1810</v>
      </c>
      <c r="E180" s="4" t="s">
        <v>1696</v>
      </c>
      <c r="F180" s="4" t="str">
        <f aca="false">IF(C180="слово",D180,"")</f>
        <v>-деятельность</v>
      </c>
    </row>
    <row r="181" customFormat="false" ht="23.85" hidden="false" customHeight="false" outlineLevel="0" collapsed="false">
      <c r="A181" s="4" t="s">
        <v>1693</v>
      </c>
      <c r="B181" s="4" t="s">
        <v>1811</v>
      </c>
      <c r="C181" s="4" t="s">
        <v>1440</v>
      </c>
      <c r="D181" s="4" t="s">
        <v>1812</v>
      </c>
      <c r="E181" s="4" t="s">
        <v>1696</v>
      </c>
      <c r="F181" s="4" t="str">
        <f aca="false">IF(C181="слово",D181,"")</f>
        <v>-технология</v>
      </c>
    </row>
    <row r="182" customFormat="false" ht="23.85" hidden="false" customHeight="false" outlineLevel="0" collapsed="false">
      <c r="A182" s="4" t="s">
        <v>1693</v>
      </c>
      <c r="B182" s="4" t="s">
        <v>1813</v>
      </c>
      <c r="C182" s="4" t="s">
        <v>1440</v>
      </c>
      <c r="D182" s="4" t="s">
        <v>1814</v>
      </c>
      <c r="E182" s="4" t="s">
        <v>1696</v>
      </c>
      <c r="F182" s="4" t="str">
        <f aca="false">IF(C182="слово",D182,"")</f>
        <v>-технологии</v>
      </c>
    </row>
    <row r="183" customFormat="false" ht="35.05" hidden="false" customHeight="false" outlineLevel="0" collapsed="false">
      <c r="A183" s="4" t="s">
        <v>1693</v>
      </c>
      <c r="B183" s="4" t="s">
        <v>1815</v>
      </c>
      <c r="C183" s="4" t="s">
        <v>1440</v>
      </c>
      <c r="D183" s="4" t="s">
        <v>1816</v>
      </c>
      <c r="E183" s="4" t="s">
        <v>1696</v>
      </c>
      <c r="F183" s="4" t="str">
        <f aca="false">IF(C183="слово",D183,"")</f>
        <v>-последовательность</v>
      </c>
    </row>
    <row r="184" customFormat="false" ht="23.85" hidden="false" customHeight="false" outlineLevel="0" collapsed="false">
      <c r="A184" s="4" t="s">
        <v>1693</v>
      </c>
      <c r="B184" s="4" t="s">
        <v>1817</v>
      </c>
      <c r="C184" s="4" t="s">
        <v>1440</v>
      </c>
      <c r="D184" s="4" t="s">
        <v>1818</v>
      </c>
      <c r="E184" s="4" t="s">
        <v>1696</v>
      </c>
      <c r="F184" s="4" t="str">
        <f aca="false">IF(C184="слово",D184,"")</f>
        <v>-варианты</v>
      </c>
    </row>
    <row r="185" customFormat="false" ht="23.85" hidden="false" customHeight="false" outlineLevel="0" collapsed="false">
      <c r="A185" s="4" t="s">
        <v>1693</v>
      </c>
      <c r="B185" s="4" t="s">
        <v>1819</v>
      </c>
      <c r="C185" s="4" t="s">
        <v>1440</v>
      </c>
      <c r="D185" s="4" t="s">
        <v>1820</v>
      </c>
      <c r="E185" s="4" t="s">
        <v>1696</v>
      </c>
      <c r="F185" s="4" t="str">
        <f aca="false">IF(C185="слово",D185,"")</f>
        <v>-упаковщик</v>
      </c>
    </row>
    <row r="186" customFormat="false" ht="23.85" hidden="false" customHeight="false" outlineLevel="0" collapsed="false">
      <c r="A186" s="4" t="s">
        <v>1693</v>
      </c>
      <c r="B186" s="4" t="s">
        <v>1821</v>
      </c>
      <c r="C186" s="4" t="s">
        <v>1440</v>
      </c>
      <c r="D186" s="4" t="s">
        <v>1822</v>
      </c>
      <c r="E186" s="4" t="s">
        <v>1696</v>
      </c>
      <c r="F186" s="4" t="str">
        <f aca="false">IF(C186="слово",D186,"")</f>
        <v>-упаковщики</v>
      </c>
    </row>
    <row r="187" customFormat="false" ht="23.85" hidden="false" customHeight="false" outlineLevel="0" collapsed="false">
      <c r="A187" s="4" t="s">
        <v>1693</v>
      </c>
      <c r="B187" s="4" t="s">
        <v>1823</v>
      </c>
      <c r="C187" s="4" t="s">
        <v>1440</v>
      </c>
      <c r="D187" s="4" t="s">
        <v>1824</v>
      </c>
      <c r="E187" s="4" t="s">
        <v>1696</v>
      </c>
      <c r="F187" s="4" t="str">
        <f aca="false">IF(C187="слово",D187,"")</f>
        <v>-упаковщиков</v>
      </c>
    </row>
    <row r="188" customFormat="false" ht="23.85" hidden="false" customHeight="false" outlineLevel="0" collapsed="false">
      <c r="A188" s="4" t="s">
        <v>1693</v>
      </c>
      <c r="B188" s="4" t="s">
        <v>1825</v>
      </c>
      <c r="C188" s="4" t="s">
        <v>1440</v>
      </c>
      <c r="D188" s="4" t="s">
        <v>1826</v>
      </c>
      <c r="E188" s="4" t="s">
        <v>1696</v>
      </c>
      <c r="F188" s="4" t="str">
        <f aca="false">IF(C188="слово",D188,"")</f>
        <v>-самозанятый</v>
      </c>
    </row>
    <row r="189" customFormat="false" ht="23.85" hidden="false" customHeight="false" outlineLevel="0" collapsed="false">
      <c r="A189" s="4" t="s">
        <v>1693</v>
      </c>
      <c r="B189" s="4" t="s">
        <v>1827</v>
      </c>
      <c r="C189" s="4" t="s">
        <v>1440</v>
      </c>
      <c r="D189" s="4" t="s">
        <v>1828</v>
      </c>
      <c r="E189" s="4" t="s">
        <v>1696</v>
      </c>
      <c r="F189" s="4" t="str">
        <f aca="false">IF(C189="слово",D189,"")</f>
        <v>-самой</v>
      </c>
    </row>
    <row r="190" customFormat="false" ht="23.85" hidden="false" customHeight="false" outlineLevel="0" collapsed="false">
      <c r="A190" s="4" t="s">
        <v>1693</v>
      </c>
      <c r="B190" s="4" t="s">
        <v>1829</v>
      </c>
      <c r="C190" s="4" t="s">
        <v>1440</v>
      </c>
      <c r="D190" s="4" t="s">
        <v>1830</v>
      </c>
      <c r="E190" s="4" t="s">
        <v>1696</v>
      </c>
      <c r="F190" s="4" t="str">
        <f aca="false">IF(C190="слово",D190,"")</f>
        <v>-сама</v>
      </c>
    </row>
    <row r="191" customFormat="false" ht="23.85" hidden="false" customHeight="false" outlineLevel="0" collapsed="false">
      <c r="A191" s="4" t="s">
        <v>1693</v>
      </c>
      <c r="B191" s="4" t="s">
        <v>1831</v>
      </c>
      <c r="C191" s="4" t="s">
        <v>1460</v>
      </c>
      <c r="D191" s="4" t="s">
        <v>1832</v>
      </c>
      <c r="E191" s="4" t="s">
        <v>1696</v>
      </c>
      <c r="F191" s="4" t="str">
        <f aca="false">IF(C191="слово",D191,"")</f>
        <v/>
      </c>
    </row>
    <row r="192" customFormat="false" ht="23.85" hidden="false" customHeight="false" outlineLevel="0" collapsed="false">
      <c r="A192" s="4" t="s">
        <v>1693</v>
      </c>
      <c r="B192" s="4" t="s">
        <v>1833</v>
      </c>
      <c r="C192" s="4" t="s">
        <v>1460</v>
      </c>
      <c r="D192" s="4" t="s">
        <v>1834</v>
      </c>
      <c r="E192" s="4" t="s">
        <v>1696</v>
      </c>
      <c r="F192" s="4" t="str">
        <f aca="false">IF(C192="слово",D192,"")</f>
        <v/>
      </c>
    </row>
    <row r="193" customFormat="false" ht="23.85" hidden="false" customHeight="false" outlineLevel="0" collapsed="false">
      <c r="A193" s="4" t="s">
        <v>1693</v>
      </c>
      <c r="B193" s="4" t="s">
        <v>1835</v>
      </c>
      <c r="C193" s="4" t="s">
        <v>1460</v>
      </c>
      <c r="D193" s="4" t="s">
        <v>1836</v>
      </c>
      <c r="E193" s="4" t="s">
        <v>1696</v>
      </c>
      <c r="F193" s="4" t="str">
        <f aca="false">IF(C193="слово",D193,"")</f>
        <v/>
      </c>
    </row>
    <row r="194" customFormat="false" ht="23.85" hidden="false" customHeight="false" outlineLevel="0" collapsed="false">
      <c r="A194" s="4" t="s">
        <v>1693</v>
      </c>
      <c r="B194" s="4" t="s">
        <v>1837</v>
      </c>
      <c r="C194" s="4" t="s">
        <v>1460</v>
      </c>
      <c r="D194" s="4" t="s">
        <v>1838</v>
      </c>
      <c r="E194" s="4" t="s">
        <v>1696</v>
      </c>
      <c r="F194" s="4" t="str">
        <f aca="false">IF(C194="слово",D194,"")</f>
        <v/>
      </c>
    </row>
    <row r="195" customFormat="false" ht="23.85" hidden="false" customHeight="false" outlineLevel="0" collapsed="false">
      <c r="A195" s="4" t="s">
        <v>1693</v>
      </c>
      <c r="B195" s="4" t="s">
        <v>1839</v>
      </c>
      <c r="C195" s="4" t="s">
        <v>1460</v>
      </c>
      <c r="D195" s="4" t="s">
        <v>1840</v>
      </c>
      <c r="E195" s="4" t="s">
        <v>1696</v>
      </c>
      <c r="F195" s="4" t="str">
        <f aca="false">IF(C195="слово",D195,"")</f>
        <v/>
      </c>
    </row>
    <row r="196" customFormat="false" ht="23.85" hidden="false" customHeight="false" outlineLevel="0" collapsed="false">
      <c r="A196" s="4" t="s">
        <v>1693</v>
      </c>
      <c r="B196" s="4" t="s">
        <v>1841</v>
      </c>
      <c r="C196" s="4" t="s">
        <v>1460</v>
      </c>
      <c r="D196" s="4" t="s">
        <v>1842</v>
      </c>
      <c r="E196" s="4" t="s">
        <v>1696</v>
      </c>
      <c r="F196" s="4" t="str">
        <f aca="false">IF(C196="слово",D196,"")</f>
        <v/>
      </c>
    </row>
    <row r="197" customFormat="false" ht="23.85" hidden="false" customHeight="false" outlineLevel="0" collapsed="false">
      <c r="A197" s="4" t="s">
        <v>1693</v>
      </c>
      <c r="B197" s="4" t="s">
        <v>1843</v>
      </c>
      <c r="C197" s="4" t="s">
        <v>1440</v>
      </c>
      <c r="D197" s="4" t="s">
        <v>1844</v>
      </c>
      <c r="E197" s="4" t="s">
        <v>1696</v>
      </c>
      <c r="F197" s="4" t="str">
        <f aca="false">IF(C197="слово",D197,"")</f>
        <v>-чем</v>
      </c>
    </row>
    <row r="198" customFormat="false" ht="23.85" hidden="false" customHeight="false" outlineLevel="0" collapsed="false">
      <c r="A198" s="4" t="s">
        <v>1693</v>
      </c>
      <c r="B198" s="4" t="s">
        <v>1845</v>
      </c>
      <c r="C198" s="4" t="s">
        <v>1440</v>
      </c>
      <c r="D198" s="4" t="s">
        <v>1846</v>
      </c>
      <c r="E198" s="4" t="s">
        <v>1696</v>
      </c>
      <c r="F198" s="4" t="str">
        <f aca="false">IF(C198="слово",D198,"")</f>
        <v>-ооо</v>
      </c>
    </row>
    <row r="199" customFormat="false" ht="23.85" hidden="false" customHeight="false" outlineLevel="0" collapsed="false">
      <c r="A199" s="4" t="s">
        <v>1693</v>
      </c>
      <c r="B199" s="4" t="s">
        <v>1847</v>
      </c>
      <c r="C199" s="4" t="s">
        <v>1440</v>
      </c>
      <c r="D199" s="4" t="s">
        <v>1848</v>
      </c>
      <c r="E199" s="4" t="s">
        <v>1696</v>
      </c>
      <c r="F199" s="4" t="str">
        <f aca="false">IF(C199="слово",D199,"")</f>
        <v>-иванова</v>
      </c>
    </row>
    <row r="200" customFormat="false" ht="23.85" hidden="false" customHeight="false" outlineLevel="0" collapsed="false">
      <c r="A200" s="4" t="s">
        <v>1693</v>
      </c>
      <c r="B200" s="4" t="s">
        <v>1849</v>
      </c>
      <c r="C200" s="4" t="s">
        <v>1440</v>
      </c>
      <c r="D200" s="4" t="s">
        <v>1850</v>
      </c>
      <c r="E200" s="4" t="s">
        <v>1696</v>
      </c>
      <c r="F200" s="4" t="str">
        <f aca="false">IF(C200="слово",D200,"")</f>
        <v>-одноклассники</v>
      </c>
    </row>
    <row r="201" customFormat="false" ht="15" hidden="false" customHeight="false" outlineLevel="0" collapsed="false">
      <c r="A201" s="4" t="s">
        <v>1851</v>
      </c>
      <c r="B201" s="4" t="s">
        <v>1852</v>
      </c>
      <c r="C201" s="4" t="s">
        <v>1460</v>
      </c>
      <c r="D201" s="4" t="s">
        <v>1853</v>
      </c>
      <c r="E201" s="4" t="s">
        <v>1854</v>
      </c>
      <c r="F201" s="4" t="str">
        <f aca="false">IF(C201="слово",D201,"")</f>
        <v/>
      </c>
    </row>
    <row r="202" customFormat="false" ht="15" hidden="false" customHeight="false" outlineLevel="0" collapsed="false">
      <c r="A202" s="4" t="s">
        <v>1851</v>
      </c>
      <c r="B202" s="4" t="s">
        <v>1855</v>
      </c>
      <c r="C202" s="4" t="s">
        <v>1460</v>
      </c>
      <c r="D202" s="4" t="s">
        <v>1856</v>
      </c>
      <c r="E202" s="4" t="s">
        <v>1854</v>
      </c>
      <c r="F202" s="4" t="str">
        <f aca="false">IF(C202="слово",D202,"")</f>
        <v/>
      </c>
    </row>
    <row r="203" customFormat="false" ht="15" hidden="false" customHeight="false" outlineLevel="0" collapsed="false">
      <c r="A203" s="4" t="s">
        <v>1851</v>
      </c>
      <c r="B203" s="4" t="s">
        <v>1857</v>
      </c>
      <c r="C203" s="4" t="s">
        <v>1460</v>
      </c>
      <c r="D203" s="4" t="s">
        <v>1858</v>
      </c>
      <c r="E203" s="4" t="s">
        <v>1854</v>
      </c>
      <c r="F203" s="4" t="str">
        <f aca="false">IF(C203="слово",D203,"")</f>
        <v/>
      </c>
    </row>
    <row r="204" customFormat="false" ht="15" hidden="false" customHeight="false" outlineLevel="0" collapsed="false">
      <c r="A204" s="4" t="s">
        <v>1851</v>
      </c>
      <c r="B204" s="4" t="s">
        <v>1859</v>
      </c>
      <c r="C204" s="4" t="s">
        <v>1460</v>
      </c>
      <c r="D204" s="4" t="s">
        <v>1860</v>
      </c>
      <c r="E204" s="4" t="s">
        <v>1854</v>
      </c>
      <c r="F204" s="4" t="str">
        <f aca="false">IF(C204="слово",D204,"")</f>
        <v/>
      </c>
    </row>
    <row r="205" customFormat="false" ht="15" hidden="false" customHeight="false" outlineLevel="0" collapsed="false">
      <c r="A205" s="4" t="s">
        <v>1851</v>
      </c>
      <c r="B205" s="4" t="s">
        <v>1861</v>
      </c>
      <c r="C205" s="4" t="s">
        <v>1460</v>
      </c>
      <c r="D205" s="4" t="s">
        <v>1862</v>
      </c>
      <c r="E205" s="4" t="s">
        <v>1863</v>
      </c>
      <c r="F205" s="4" t="str">
        <f aca="false">IF(C205="слово",D205,"")</f>
        <v/>
      </c>
    </row>
    <row r="206" customFormat="false" ht="15" hidden="false" customHeight="false" outlineLevel="0" collapsed="false">
      <c r="A206" s="4" t="s">
        <v>1851</v>
      </c>
      <c r="B206" s="4" t="s">
        <v>1864</v>
      </c>
      <c r="C206" s="4" t="s">
        <v>1460</v>
      </c>
      <c r="D206" s="4" t="s">
        <v>1865</v>
      </c>
      <c r="E206" s="4" t="s">
        <v>1866</v>
      </c>
      <c r="F206" s="4" t="str">
        <f aca="false">IF(C206="слово",D206,"")</f>
        <v/>
      </c>
    </row>
    <row r="207" customFormat="false" ht="15" hidden="false" customHeight="false" outlineLevel="0" collapsed="false">
      <c r="A207" s="4" t="s">
        <v>1851</v>
      </c>
      <c r="B207" s="4" t="s">
        <v>1867</v>
      </c>
      <c r="C207" s="4" t="s">
        <v>1460</v>
      </c>
      <c r="D207" s="4" t="s">
        <v>1868</v>
      </c>
      <c r="E207" s="4" t="s">
        <v>1869</v>
      </c>
      <c r="F207" s="4" t="str">
        <f aca="false">IF(C207="слово",D207,"")</f>
        <v/>
      </c>
    </row>
    <row r="208" customFormat="false" ht="23.85" hidden="false" customHeight="false" outlineLevel="0" collapsed="false">
      <c r="A208" s="4" t="s">
        <v>1851</v>
      </c>
      <c r="B208" s="4" t="s">
        <v>1870</v>
      </c>
      <c r="C208" s="4" t="s">
        <v>1460</v>
      </c>
      <c r="D208" s="4" t="s">
        <v>1871</v>
      </c>
      <c r="E208" s="4" t="s">
        <v>1872</v>
      </c>
      <c r="F208" s="4" t="str">
        <f aca="false">IF(C208="слово",D208,"")</f>
        <v/>
      </c>
    </row>
    <row r="209" customFormat="false" ht="23.85" hidden="false" customHeight="false" outlineLevel="0" collapsed="false">
      <c r="A209" s="4" t="s">
        <v>1851</v>
      </c>
      <c r="B209" s="4" t="s">
        <v>1873</v>
      </c>
      <c r="C209" s="4" t="s">
        <v>1460</v>
      </c>
      <c r="D209" s="4" t="s">
        <v>1874</v>
      </c>
      <c r="E209" s="4" t="s">
        <v>1872</v>
      </c>
      <c r="F209" s="4" t="str">
        <f aca="false">IF(C209="слово",D209,"")</f>
        <v/>
      </c>
    </row>
    <row r="211" customFormat="false" ht="15" hidden="false" customHeight="false" outlineLevel="0" collapsed="false">
      <c r="A211" s="6" t="s">
        <v>1875</v>
      </c>
    </row>
    <row r="212" customFormat="false" ht="150" hidden="false" customHeight="true" outlineLevel="0" collapsed="false">
      <c r="A212" s="15" t="str">
        <f aca="false">_xlfn.TEXTJOIN(" ",TRUE(),F2:F209)</f>
        <v>-ателье -ремонт -подшить -подшив -укоротить -перешив -переделка -переделать -подгонка -свадебное -выпускной -вечернее -бальное -бальные -выкройка -выкройки -курсы -обучение -мастер-класс -урок -самостоятельно -схема -скачать -бесплатно -pdf -видео -реферат -пошагово -лоскутное -вакансия -вакансии -работа -зарплата -резюме -подработка -трудоустройство -швея -швеи -портной -оператор -мастер -обязанности -профессия -должностная -колледж -техникум -институт -образование -оверлок -запчасти -иглы -нитки -фурнитура -оборудование -б/у -бу -станок -станки -швейно-вышивальная -принтер -плоттер -программа -ткань -ткани -бизнес-план -франшиза -помещение -себестоимость -калькуляция -шторы -занавески -постельное -спецодежда -униформа -собак -питомцев -игрушки -куклы -обувь -сумки -рюкзаки -чехлы -подушки -платки -госномеров -номеров -купить -интернет-магазин -магазин -авито -секонд -ломбард -отзывы -фото -картинки -реферат -википедия -это -означает -название -называется -классификация -история -курсовая -презентация -пример -примеры -виды -отличается -отличие -отличия -расшифровка -значение -обозначение -обозначения -символы -чей -чье -чья -кроссворд -гта -игра -школа -академия -кто -какая -какой -какое -официальный -официальные -сайт -сайты -рядом -контакты -телефон -адрес -знаки -знак -значки -стирка -стирки -стирку -температура -температуры -оквэд -деятельность -технология -технологии -последовательность -варианты -упаковщик -упаковщики -упаковщиков -самозанятый -самой -сама -чем -ооо -иванова -одноклассники</v>
      </c>
      <c r="B212" s="15"/>
      <c r="C212" s="15"/>
      <c r="D212" s="15"/>
      <c r="E212" s="15"/>
    </row>
    <row r="213" customFormat="false" ht="15" hidden="false" customHeight="false" outlineLevel="0" collapsed="false">
      <c r="A213" s="8" t="s">
        <v>1876</v>
      </c>
    </row>
  </sheetData>
  <mergeCells count="1">
    <mergeCell ref="A212:E2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70"/>
  </cols>
  <sheetData>
    <row r="1" customFormat="false" ht="31.5" hidden="false" customHeight="true" outlineLevel="0" collapsed="false">
      <c r="A1" s="9" t="s">
        <v>1877</v>
      </c>
      <c r="B1" s="9" t="s">
        <v>1878</v>
      </c>
      <c r="C1" s="9" t="s">
        <v>1879</v>
      </c>
      <c r="D1" s="9" t="s">
        <v>1880</v>
      </c>
    </row>
    <row r="2" customFormat="false" ht="23.85" hidden="false" customHeight="false" outlineLevel="0" collapsed="false">
      <c r="A2" s="4" t="s">
        <v>111</v>
      </c>
      <c r="B2" s="4" t="s">
        <v>90</v>
      </c>
      <c r="C2" s="4" t="s">
        <v>1881</v>
      </c>
      <c r="D2" s="4" t="s">
        <v>1882</v>
      </c>
    </row>
    <row r="3" customFormat="false" ht="15" hidden="false" customHeight="false" outlineLevel="0" collapsed="false">
      <c r="A3" s="4" t="s">
        <v>113</v>
      </c>
      <c r="B3" s="4" t="s">
        <v>90</v>
      </c>
      <c r="C3" s="4" t="s">
        <v>1883</v>
      </c>
      <c r="D3" s="4" t="s">
        <v>1884</v>
      </c>
    </row>
    <row r="4" customFormat="false" ht="46.25" hidden="false" customHeight="false" outlineLevel="0" collapsed="false">
      <c r="A4" s="4" t="s">
        <v>114</v>
      </c>
      <c r="B4" s="4" t="s">
        <v>90</v>
      </c>
      <c r="C4" s="4" t="s">
        <v>1885</v>
      </c>
      <c r="D4" s="4" t="s">
        <v>1886</v>
      </c>
    </row>
    <row r="5" customFormat="false" ht="46.25" hidden="false" customHeight="false" outlineLevel="0" collapsed="false">
      <c r="A5" s="4" t="s">
        <v>121</v>
      </c>
      <c r="B5" s="4" t="s">
        <v>90</v>
      </c>
      <c r="C5" s="4" t="s">
        <v>1887</v>
      </c>
      <c r="D5" s="4" t="s">
        <v>1888</v>
      </c>
    </row>
    <row r="6" customFormat="false" ht="15" hidden="false" customHeight="false" outlineLevel="0" collapsed="false">
      <c r="A6" s="4" t="s">
        <v>384</v>
      </c>
      <c r="B6" s="4" t="s">
        <v>381</v>
      </c>
      <c r="C6" s="4" t="s">
        <v>1889</v>
      </c>
      <c r="D6" s="4" t="s">
        <v>1113</v>
      </c>
    </row>
    <row r="7" customFormat="false" ht="23.85" hidden="false" customHeight="false" outlineLevel="0" collapsed="false">
      <c r="A7" s="4" t="s">
        <v>821</v>
      </c>
      <c r="B7" s="4" t="s">
        <v>822</v>
      </c>
      <c r="C7" s="4" t="s">
        <v>1890</v>
      </c>
      <c r="D7" s="4" t="s">
        <v>1891</v>
      </c>
    </row>
    <row r="8" customFormat="false" ht="23.85" hidden="false" customHeight="false" outlineLevel="0" collapsed="false">
      <c r="A8" s="4" t="s">
        <v>912</v>
      </c>
      <c r="B8" s="4" t="s">
        <v>907</v>
      </c>
      <c r="C8" s="4" t="s">
        <v>1892</v>
      </c>
      <c r="D8" s="4" t="s">
        <v>1893</v>
      </c>
    </row>
    <row r="9" customFormat="false" ht="15" hidden="false" customHeight="false" outlineLevel="0" collapsed="false">
      <c r="A9" s="4" t="s">
        <v>958</v>
      </c>
      <c r="B9" s="4" t="s">
        <v>944</v>
      </c>
      <c r="C9" s="4" t="s">
        <v>1894</v>
      </c>
      <c r="D9" s="4" t="s">
        <v>1895</v>
      </c>
    </row>
    <row r="10" customFormat="false" ht="15" hidden="false" customHeight="false" outlineLevel="0" collapsed="false">
      <c r="A10" s="4" t="s">
        <v>1061</v>
      </c>
      <c r="B10" s="4" t="s">
        <v>1053</v>
      </c>
      <c r="C10" s="4" t="s">
        <v>1896</v>
      </c>
      <c r="D10" s="4" t="s">
        <v>1897</v>
      </c>
    </row>
    <row r="11" customFormat="false" ht="15" hidden="false" customHeight="false" outlineLevel="0" collapsed="false">
      <c r="A11" s="4" t="s">
        <v>1063</v>
      </c>
      <c r="B11" s="4" t="s">
        <v>1053</v>
      </c>
      <c r="C11" s="4" t="s">
        <v>1898</v>
      </c>
      <c r="D11" s="4" t="s">
        <v>1182</v>
      </c>
    </row>
    <row r="13" customFormat="false" ht="15" hidden="false" customHeight="false" outlineLevel="0" collapsed="false">
      <c r="A13" s="8" t="s">
        <v>1899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4" min="2" style="0" width="14"/>
    <col collapsed="false" customWidth="true" hidden="false" outlineLevel="0" max="15" min="15" style="0" width="12"/>
    <col collapsed="false" customWidth="true" hidden="false" outlineLevel="0" max="16" min="16" style="0" width="14"/>
  </cols>
  <sheetData>
    <row r="1" customFormat="false" ht="31.5" hidden="false" customHeight="true" outlineLevel="0" collapsed="false">
      <c r="A1" s="9" t="s">
        <v>1900</v>
      </c>
      <c r="B1" s="9" t="s">
        <v>114</v>
      </c>
      <c r="C1" s="9" t="s">
        <v>115</v>
      </c>
      <c r="D1" s="9" t="s">
        <v>121</v>
      </c>
      <c r="E1" s="9" t="s">
        <v>384</v>
      </c>
      <c r="F1" s="9" t="s">
        <v>416</v>
      </c>
      <c r="G1" s="9" t="s">
        <v>434</v>
      </c>
      <c r="H1" s="9" t="s">
        <v>453</v>
      </c>
      <c r="I1" s="9" t="s">
        <v>485</v>
      </c>
      <c r="J1" s="9" t="s">
        <v>505</v>
      </c>
      <c r="K1" s="9" t="s">
        <v>530</v>
      </c>
      <c r="L1" s="9" t="s">
        <v>531</v>
      </c>
      <c r="M1" s="9" t="s">
        <v>529</v>
      </c>
      <c r="N1" s="9" t="s">
        <v>537</v>
      </c>
      <c r="O1" s="9" t="s">
        <v>1901</v>
      </c>
      <c r="P1" s="9" t="s">
        <v>1902</v>
      </c>
    </row>
    <row r="2" customFormat="false" ht="15" hidden="false" customHeight="false" outlineLevel="0" collapsed="false">
      <c r="A2" s="16" t="s">
        <v>1903</v>
      </c>
      <c r="B2" s="17" t="n">
        <v>992</v>
      </c>
      <c r="C2" s="17" t="n">
        <v>95</v>
      </c>
      <c r="D2" s="17" t="n">
        <v>1024</v>
      </c>
      <c r="E2" s="17" t="n">
        <v>22</v>
      </c>
      <c r="F2" s="17" t="n">
        <v>0</v>
      </c>
      <c r="G2" s="17" t="n">
        <v>2</v>
      </c>
      <c r="H2" s="17" t="n">
        <v>3</v>
      </c>
      <c r="I2" s="17" t="n">
        <v>0</v>
      </c>
      <c r="J2" s="17" t="n">
        <v>0</v>
      </c>
      <c r="K2" s="17" t="n">
        <v>0</v>
      </c>
      <c r="L2" s="17" t="n">
        <v>0</v>
      </c>
      <c r="M2" s="17" t="n">
        <v>0</v>
      </c>
      <c r="N2" s="17" t="n">
        <v>0</v>
      </c>
      <c r="O2" s="16" t="n">
        <f aca="false">SUM(B2:N2)</f>
        <v>2138</v>
      </c>
      <c r="P2" s="18" t="n">
        <f aca="false">O2/AVERAGE($O$2:$O$25)</f>
        <v>1.3775033557047</v>
      </c>
    </row>
    <row r="3" customFormat="false" ht="15" hidden="false" customHeight="false" outlineLevel="0" collapsed="false">
      <c r="A3" s="16" t="s">
        <v>1904</v>
      </c>
      <c r="B3" s="17" t="n">
        <v>888</v>
      </c>
      <c r="C3" s="17" t="n">
        <v>112</v>
      </c>
      <c r="D3" s="17" t="n">
        <v>685</v>
      </c>
      <c r="E3" s="17" t="n">
        <v>21</v>
      </c>
      <c r="F3" s="17" t="n">
        <v>0</v>
      </c>
      <c r="G3" s="17" t="n">
        <v>6</v>
      </c>
      <c r="H3" s="17" t="n">
        <v>13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v>0</v>
      </c>
      <c r="O3" s="16" t="n">
        <f aca="false">SUM(B3:N3)</f>
        <v>1725</v>
      </c>
      <c r="P3" s="18" t="n">
        <f aca="false">O3/AVERAGE($O$2:$O$25)</f>
        <v>1.11140939597315</v>
      </c>
    </row>
    <row r="4" customFormat="false" ht="15" hidden="false" customHeight="false" outlineLevel="0" collapsed="false">
      <c r="A4" s="16" t="s">
        <v>1905</v>
      </c>
      <c r="B4" s="17" t="n">
        <v>885</v>
      </c>
      <c r="C4" s="17" t="n">
        <v>84</v>
      </c>
      <c r="D4" s="17" t="n">
        <v>623</v>
      </c>
      <c r="E4" s="17" t="n">
        <v>6</v>
      </c>
      <c r="F4" s="17" t="n">
        <v>0</v>
      </c>
      <c r="G4" s="17" t="n">
        <v>1</v>
      </c>
      <c r="H4" s="17" t="n">
        <v>3</v>
      </c>
      <c r="I4" s="17" t="n">
        <v>0</v>
      </c>
      <c r="J4" s="17" t="n">
        <v>2</v>
      </c>
      <c r="K4" s="17" t="n">
        <v>0</v>
      </c>
      <c r="L4" s="17" t="n">
        <v>0</v>
      </c>
      <c r="M4" s="17" t="n">
        <v>0</v>
      </c>
      <c r="N4" s="17" t="n">
        <v>0</v>
      </c>
      <c r="O4" s="16" t="n">
        <f aca="false">SUM(B4:N4)</f>
        <v>1604</v>
      </c>
      <c r="P4" s="18" t="n">
        <f aca="false">O4/AVERAGE($O$2:$O$25)</f>
        <v>1.03344966442953</v>
      </c>
    </row>
    <row r="5" customFormat="false" ht="15" hidden="false" customHeight="false" outlineLevel="0" collapsed="false">
      <c r="A5" s="16" t="s">
        <v>1906</v>
      </c>
      <c r="B5" s="17" t="n">
        <v>938</v>
      </c>
      <c r="C5" s="17" t="n">
        <v>82</v>
      </c>
      <c r="D5" s="17" t="n">
        <v>925</v>
      </c>
      <c r="E5" s="17" t="n">
        <v>19</v>
      </c>
      <c r="F5" s="17" t="n">
        <v>0</v>
      </c>
      <c r="G5" s="17" t="n">
        <v>2</v>
      </c>
      <c r="H5" s="17" t="n">
        <v>4</v>
      </c>
      <c r="I5" s="17" t="n">
        <v>1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0</v>
      </c>
      <c r="O5" s="16" t="n">
        <f aca="false">SUM(B5:N5)</f>
        <v>1971</v>
      </c>
      <c r="P5" s="18" t="n">
        <f aca="false">O5/AVERAGE($O$2:$O$25)</f>
        <v>1.26990604026846</v>
      </c>
    </row>
    <row r="6" customFormat="false" ht="15" hidden="false" customHeight="false" outlineLevel="0" collapsed="false">
      <c r="A6" s="16" t="s">
        <v>1907</v>
      </c>
      <c r="B6" s="17" t="n">
        <v>1158</v>
      </c>
      <c r="C6" s="17" t="n">
        <v>102</v>
      </c>
      <c r="D6" s="17" t="n">
        <v>952</v>
      </c>
      <c r="E6" s="17" t="n">
        <v>29</v>
      </c>
      <c r="F6" s="17" t="n">
        <v>0</v>
      </c>
      <c r="G6" s="17" t="n">
        <v>2</v>
      </c>
      <c r="H6" s="17" t="n">
        <v>17</v>
      </c>
      <c r="I6" s="17" t="n">
        <v>0</v>
      </c>
      <c r="J6" s="17" t="n">
        <v>0</v>
      </c>
      <c r="K6" s="17" t="n">
        <v>2</v>
      </c>
      <c r="L6" s="17" t="n">
        <v>0</v>
      </c>
      <c r="M6" s="17" t="n">
        <v>0</v>
      </c>
      <c r="N6" s="17" t="n">
        <v>0</v>
      </c>
      <c r="O6" s="16" t="n">
        <f aca="false">SUM(B6:N6)</f>
        <v>2262</v>
      </c>
      <c r="P6" s="18" t="n">
        <f aca="false">O6/AVERAGE($O$2:$O$25)</f>
        <v>1.45739597315436</v>
      </c>
    </row>
    <row r="7" customFormat="false" ht="15" hidden="false" customHeight="false" outlineLevel="0" collapsed="false">
      <c r="A7" s="16" t="s">
        <v>1908</v>
      </c>
      <c r="B7" s="17" t="n">
        <v>1191</v>
      </c>
      <c r="C7" s="17" t="n">
        <v>123</v>
      </c>
      <c r="D7" s="17" t="n">
        <v>766</v>
      </c>
      <c r="E7" s="17" t="n">
        <v>24</v>
      </c>
      <c r="F7" s="17" t="n">
        <v>0</v>
      </c>
      <c r="G7" s="17" t="n">
        <v>2</v>
      </c>
      <c r="H7" s="17" t="n">
        <v>4</v>
      </c>
      <c r="I7" s="17" t="n">
        <v>0</v>
      </c>
      <c r="J7" s="17" t="n">
        <v>0</v>
      </c>
      <c r="K7" s="17" t="n">
        <v>2</v>
      </c>
      <c r="L7" s="17" t="n">
        <v>0</v>
      </c>
      <c r="M7" s="17" t="n">
        <v>0</v>
      </c>
      <c r="N7" s="17" t="n">
        <v>0</v>
      </c>
      <c r="O7" s="16" t="n">
        <f aca="false">SUM(B7:N7)</f>
        <v>2112</v>
      </c>
      <c r="P7" s="18" t="n">
        <f aca="false">O7/AVERAGE($O$2:$O$25)</f>
        <v>1.36075167785235</v>
      </c>
    </row>
    <row r="8" customFormat="false" ht="15" hidden="false" customHeight="false" outlineLevel="0" collapsed="false">
      <c r="A8" s="16" t="s">
        <v>1909</v>
      </c>
      <c r="B8" s="17" t="n">
        <v>899</v>
      </c>
      <c r="C8" s="17" t="n">
        <v>113</v>
      </c>
      <c r="D8" s="17" t="n">
        <v>693</v>
      </c>
      <c r="E8" s="17" t="n">
        <v>20</v>
      </c>
      <c r="F8" s="17" t="n">
        <v>0</v>
      </c>
      <c r="G8" s="17" t="n">
        <v>0</v>
      </c>
      <c r="H8" s="17" t="n">
        <v>3</v>
      </c>
      <c r="I8" s="17" t="n">
        <v>1</v>
      </c>
      <c r="J8" s="17" t="n">
        <v>0</v>
      </c>
      <c r="K8" s="17" t="n">
        <v>0</v>
      </c>
      <c r="L8" s="17" t="n">
        <v>1</v>
      </c>
      <c r="M8" s="17" t="n">
        <v>0</v>
      </c>
      <c r="N8" s="17" t="n">
        <v>0</v>
      </c>
      <c r="O8" s="16" t="n">
        <f aca="false">SUM(B8:N8)</f>
        <v>1730</v>
      </c>
      <c r="P8" s="18" t="n">
        <f aca="false">O8/AVERAGE($O$2:$O$25)</f>
        <v>1.11463087248322</v>
      </c>
    </row>
    <row r="9" customFormat="false" ht="15" hidden="false" customHeight="false" outlineLevel="0" collapsed="false">
      <c r="A9" s="16" t="s">
        <v>1910</v>
      </c>
      <c r="B9" s="17" t="n">
        <v>762</v>
      </c>
      <c r="C9" s="17" t="n">
        <v>74</v>
      </c>
      <c r="D9" s="17" t="n">
        <v>650</v>
      </c>
      <c r="E9" s="17" t="n">
        <v>9</v>
      </c>
      <c r="F9" s="17" t="n">
        <v>0</v>
      </c>
      <c r="G9" s="17" t="n">
        <v>0</v>
      </c>
      <c r="H9" s="17" t="n">
        <v>3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6" t="n">
        <f aca="false">SUM(B9:N9)</f>
        <v>1498</v>
      </c>
      <c r="P9" s="18" t="n">
        <f aca="false">O9/AVERAGE($O$2:$O$25)</f>
        <v>0.965154362416107</v>
      </c>
    </row>
    <row r="10" customFormat="false" ht="15" hidden="false" customHeight="false" outlineLevel="0" collapsed="false">
      <c r="A10" s="16" t="s">
        <v>1911</v>
      </c>
      <c r="B10" s="17" t="n">
        <v>796</v>
      </c>
      <c r="C10" s="17" t="n">
        <v>103</v>
      </c>
      <c r="D10" s="17" t="n">
        <v>447</v>
      </c>
      <c r="E10" s="17" t="n">
        <v>28</v>
      </c>
      <c r="F10" s="17" t="n">
        <v>0</v>
      </c>
      <c r="G10" s="17" t="n">
        <v>8</v>
      </c>
      <c r="H10" s="17" t="n">
        <v>2</v>
      </c>
      <c r="I10" s="17" t="n">
        <v>0</v>
      </c>
      <c r="J10" s="17" t="n">
        <v>0</v>
      </c>
      <c r="K10" s="17" t="n">
        <v>1</v>
      </c>
      <c r="L10" s="17" t="n">
        <v>0</v>
      </c>
      <c r="M10" s="17" t="n">
        <v>0</v>
      </c>
      <c r="N10" s="17" t="n">
        <v>0</v>
      </c>
      <c r="O10" s="16" t="n">
        <f aca="false">SUM(B10:N10)</f>
        <v>1385</v>
      </c>
      <c r="P10" s="18" t="n">
        <f aca="false">O10/AVERAGE($O$2:$O$25)</f>
        <v>0.892348993288591</v>
      </c>
    </row>
    <row r="11" customFormat="false" ht="15" hidden="false" customHeight="false" outlineLevel="0" collapsed="false">
      <c r="A11" s="16" t="s">
        <v>1912</v>
      </c>
      <c r="B11" s="17" t="n">
        <v>583</v>
      </c>
      <c r="C11" s="17" t="n">
        <v>56</v>
      </c>
      <c r="D11" s="17" t="n">
        <v>339</v>
      </c>
      <c r="E11" s="17" t="n">
        <v>5</v>
      </c>
      <c r="F11" s="17" t="n">
        <v>0</v>
      </c>
      <c r="G11" s="17" t="n">
        <v>0</v>
      </c>
      <c r="H11" s="17" t="n">
        <v>2</v>
      </c>
      <c r="I11" s="17" t="n">
        <v>0</v>
      </c>
      <c r="J11" s="17" t="n">
        <v>0</v>
      </c>
      <c r="K11" s="17" t="n">
        <v>0</v>
      </c>
      <c r="L11" s="17" t="n">
        <v>1</v>
      </c>
      <c r="M11" s="17" t="n">
        <v>0</v>
      </c>
      <c r="N11" s="17" t="n">
        <v>0</v>
      </c>
      <c r="O11" s="16" t="n">
        <f aca="false">SUM(B11:N11)</f>
        <v>986</v>
      </c>
      <c r="P11" s="18" t="n">
        <f aca="false">O11/AVERAGE($O$2:$O$25)</f>
        <v>0.635275167785235</v>
      </c>
    </row>
    <row r="12" customFormat="false" ht="15" hidden="false" customHeight="false" outlineLevel="0" collapsed="false">
      <c r="A12" s="16" t="s">
        <v>1913</v>
      </c>
      <c r="B12" s="17" t="n">
        <v>526</v>
      </c>
      <c r="C12" s="17" t="n">
        <v>71</v>
      </c>
      <c r="D12" s="17" t="n">
        <v>392</v>
      </c>
      <c r="E12" s="17" t="n">
        <v>15</v>
      </c>
      <c r="F12" s="17" t="n">
        <v>0</v>
      </c>
      <c r="G12" s="17" t="n">
        <v>2</v>
      </c>
      <c r="H12" s="17" t="n">
        <v>5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6" t="n">
        <f aca="false">SUM(B12:N12)</f>
        <v>1011</v>
      </c>
      <c r="P12" s="18" t="n">
        <f aca="false">O12/AVERAGE($O$2:$O$25)</f>
        <v>0.651382550335571</v>
      </c>
    </row>
    <row r="13" customFormat="false" ht="15" hidden="false" customHeight="false" outlineLevel="0" collapsed="false">
      <c r="A13" s="16" t="s">
        <v>1914</v>
      </c>
      <c r="B13" s="17" t="n">
        <v>885</v>
      </c>
      <c r="C13" s="17" t="n">
        <v>93</v>
      </c>
      <c r="D13" s="17" t="n">
        <v>512</v>
      </c>
      <c r="E13" s="17" t="n">
        <v>15</v>
      </c>
      <c r="F13" s="17" t="n">
        <v>0</v>
      </c>
      <c r="G13" s="17" t="n">
        <v>0</v>
      </c>
      <c r="H13" s="17" t="n">
        <v>1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6" t="n">
        <f aca="false">SUM(B13:N13)</f>
        <v>1506</v>
      </c>
      <c r="P13" s="18" t="n">
        <f aca="false">O13/AVERAGE($O$2:$O$25)</f>
        <v>0.970308724832215</v>
      </c>
    </row>
    <row r="14" customFormat="false" ht="15" hidden="false" customHeight="false" outlineLevel="0" collapsed="false">
      <c r="A14" s="16" t="s">
        <v>1915</v>
      </c>
      <c r="B14" s="17" t="n">
        <v>841</v>
      </c>
      <c r="C14" s="17" t="n">
        <v>75</v>
      </c>
      <c r="D14" s="17" t="n">
        <v>710</v>
      </c>
      <c r="E14" s="17" t="n">
        <v>34</v>
      </c>
      <c r="F14" s="17" t="n">
        <v>0</v>
      </c>
      <c r="G14" s="17" t="n">
        <v>3</v>
      </c>
      <c r="H14" s="17" t="n">
        <v>3</v>
      </c>
      <c r="I14" s="17" t="n">
        <v>0</v>
      </c>
      <c r="J14" s="17" t="n">
        <v>0</v>
      </c>
      <c r="K14" s="17" t="n">
        <v>1</v>
      </c>
      <c r="L14" s="17" t="n">
        <v>0</v>
      </c>
      <c r="M14" s="17" t="n">
        <v>0</v>
      </c>
      <c r="N14" s="17" t="n">
        <v>0</v>
      </c>
      <c r="O14" s="16" t="n">
        <f aca="false">SUM(B14:N14)</f>
        <v>1667</v>
      </c>
      <c r="P14" s="18" t="n">
        <f aca="false">O14/AVERAGE($O$2:$O$25)</f>
        <v>1.07404026845638</v>
      </c>
    </row>
    <row r="15" customFormat="false" ht="15" hidden="false" customHeight="false" outlineLevel="0" collapsed="false">
      <c r="A15" s="16" t="s">
        <v>1916</v>
      </c>
      <c r="B15" s="17" t="n">
        <v>844</v>
      </c>
      <c r="C15" s="17" t="n">
        <v>63</v>
      </c>
      <c r="D15" s="17" t="n">
        <v>765</v>
      </c>
      <c r="E15" s="17" t="n">
        <v>10</v>
      </c>
      <c r="F15" s="17" t="n">
        <v>0</v>
      </c>
      <c r="G15" s="17" t="n">
        <v>1</v>
      </c>
      <c r="H15" s="17" t="n">
        <v>13</v>
      </c>
      <c r="I15" s="17" t="n">
        <v>1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6" t="n">
        <f aca="false">SUM(B15:N15)</f>
        <v>1697</v>
      </c>
      <c r="P15" s="18" t="n">
        <f aca="false">O15/AVERAGE($O$2:$O$25)</f>
        <v>1.09336912751678</v>
      </c>
    </row>
    <row r="16" customFormat="false" ht="15" hidden="false" customHeight="false" outlineLevel="0" collapsed="false">
      <c r="A16" s="16" t="s">
        <v>1917</v>
      </c>
      <c r="B16" s="17" t="n">
        <v>833</v>
      </c>
      <c r="C16" s="17" t="n">
        <v>33</v>
      </c>
      <c r="D16" s="17" t="n">
        <v>684</v>
      </c>
      <c r="E16" s="17" t="n">
        <v>8</v>
      </c>
      <c r="F16" s="17" t="n">
        <v>0</v>
      </c>
      <c r="G16" s="17" t="n">
        <v>1</v>
      </c>
      <c r="H16" s="17" t="n">
        <v>2</v>
      </c>
      <c r="I16" s="17" t="n">
        <v>0</v>
      </c>
      <c r="J16" s="17" t="n">
        <v>0</v>
      </c>
      <c r="K16" s="17" t="n">
        <v>2</v>
      </c>
      <c r="L16" s="17" t="n">
        <v>0</v>
      </c>
      <c r="M16" s="17" t="n">
        <v>0</v>
      </c>
      <c r="N16" s="17" t="n">
        <v>0</v>
      </c>
      <c r="O16" s="16" t="n">
        <f aca="false">SUM(B16:N16)</f>
        <v>1563</v>
      </c>
      <c r="P16" s="18" t="n">
        <f aca="false">O16/AVERAGE($O$2:$O$25)</f>
        <v>1.00703355704698</v>
      </c>
    </row>
    <row r="17" customFormat="false" ht="15" hidden="false" customHeight="false" outlineLevel="0" collapsed="false">
      <c r="A17" s="16" t="s">
        <v>1918</v>
      </c>
      <c r="B17" s="17" t="n">
        <v>752</v>
      </c>
      <c r="C17" s="17" t="n">
        <v>53</v>
      </c>
      <c r="D17" s="17" t="n">
        <v>822</v>
      </c>
      <c r="E17" s="17" t="n">
        <v>6</v>
      </c>
      <c r="F17" s="17" t="n">
        <v>0</v>
      </c>
      <c r="G17" s="17" t="n">
        <v>2</v>
      </c>
      <c r="H17" s="17" t="n">
        <v>1</v>
      </c>
      <c r="I17" s="17" t="n">
        <v>2</v>
      </c>
      <c r="J17" s="17" t="n">
        <v>0</v>
      </c>
      <c r="K17" s="17" t="n">
        <v>1</v>
      </c>
      <c r="L17" s="17" t="n">
        <v>0</v>
      </c>
      <c r="M17" s="17" t="n">
        <v>1</v>
      </c>
      <c r="N17" s="17" t="n">
        <v>0</v>
      </c>
      <c r="O17" s="16" t="n">
        <f aca="false">SUM(B17:N17)</f>
        <v>1640</v>
      </c>
      <c r="P17" s="18" t="n">
        <f aca="false">O17/AVERAGE($O$2:$O$25)</f>
        <v>1.05664429530201</v>
      </c>
    </row>
    <row r="18" customFormat="false" ht="15" hidden="false" customHeight="false" outlineLevel="0" collapsed="false">
      <c r="A18" s="16" t="s">
        <v>1919</v>
      </c>
      <c r="B18" s="17" t="n">
        <v>783</v>
      </c>
      <c r="C18" s="17" t="n">
        <v>70</v>
      </c>
      <c r="D18" s="17" t="n">
        <v>847</v>
      </c>
      <c r="E18" s="17" t="n">
        <v>8</v>
      </c>
      <c r="F18" s="17" t="n">
        <v>0</v>
      </c>
      <c r="G18" s="17" t="n">
        <v>2</v>
      </c>
      <c r="H18" s="17" t="n">
        <v>1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6" t="n">
        <f aca="false">SUM(B18:N18)</f>
        <v>1711</v>
      </c>
      <c r="P18" s="18" t="n">
        <f aca="false">O18/AVERAGE($O$2:$O$25)</f>
        <v>1.10238926174497</v>
      </c>
    </row>
    <row r="19" customFormat="false" ht="15" hidden="false" customHeight="false" outlineLevel="0" collapsed="false">
      <c r="A19" s="16" t="s">
        <v>1920</v>
      </c>
      <c r="B19" s="17" t="n">
        <v>1297</v>
      </c>
      <c r="C19" s="17" t="n">
        <v>77</v>
      </c>
      <c r="D19" s="17" t="n">
        <v>853</v>
      </c>
      <c r="E19" s="17" t="n">
        <v>9</v>
      </c>
      <c r="F19" s="17" t="n">
        <v>0</v>
      </c>
      <c r="G19" s="17" t="n">
        <v>2</v>
      </c>
      <c r="H19" s="17" t="n">
        <v>7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v>0</v>
      </c>
      <c r="O19" s="16" t="n">
        <f aca="false">SUM(B19:N19)</f>
        <v>2245</v>
      </c>
      <c r="P19" s="18" t="n">
        <f aca="false">O19/AVERAGE($O$2:$O$25)</f>
        <v>1.44644295302013</v>
      </c>
    </row>
    <row r="20" customFormat="false" ht="15" hidden="false" customHeight="false" outlineLevel="0" collapsed="false">
      <c r="A20" s="16" t="s">
        <v>1921</v>
      </c>
      <c r="B20" s="17" t="n">
        <v>851</v>
      </c>
      <c r="C20" s="17" t="n">
        <v>68</v>
      </c>
      <c r="D20" s="17" t="n">
        <v>778</v>
      </c>
      <c r="E20" s="17" t="n">
        <v>11</v>
      </c>
      <c r="F20" s="17" t="n">
        <v>0</v>
      </c>
      <c r="G20" s="17" t="n">
        <v>2</v>
      </c>
      <c r="H20" s="17" t="n">
        <v>3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6" t="n">
        <f aca="false">SUM(B20:N20)</f>
        <v>1713</v>
      </c>
      <c r="P20" s="18" t="n">
        <f aca="false">O20/AVERAGE($O$2:$O$25)</f>
        <v>1.10367785234899</v>
      </c>
    </row>
    <row r="21" customFormat="false" ht="15" hidden="false" customHeight="false" outlineLevel="0" collapsed="false">
      <c r="A21" s="16" t="s">
        <v>1922</v>
      </c>
      <c r="B21" s="17" t="n">
        <v>789</v>
      </c>
      <c r="C21" s="17" t="n">
        <v>43</v>
      </c>
      <c r="D21" s="17" t="n">
        <v>546</v>
      </c>
      <c r="E21" s="17" t="n">
        <v>16</v>
      </c>
      <c r="F21" s="17" t="n">
        <v>0</v>
      </c>
      <c r="G21" s="17" t="n">
        <v>4</v>
      </c>
      <c r="H21" s="17" t="n">
        <v>2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6" t="n">
        <f aca="false">SUM(B21:N21)</f>
        <v>1400</v>
      </c>
      <c r="P21" s="18" t="n">
        <f aca="false">O21/AVERAGE($O$2:$O$25)</f>
        <v>0.902013422818792</v>
      </c>
    </row>
    <row r="22" customFormat="false" ht="15" hidden="false" customHeight="false" outlineLevel="0" collapsed="false">
      <c r="A22" s="16" t="s">
        <v>1923</v>
      </c>
      <c r="B22" s="17" t="n">
        <v>494</v>
      </c>
      <c r="C22" s="17" t="n">
        <v>37</v>
      </c>
      <c r="D22" s="17" t="n">
        <v>338</v>
      </c>
      <c r="E22" s="17" t="n">
        <v>3</v>
      </c>
      <c r="F22" s="17" t="n">
        <v>0</v>
      </c>
      <c r="G22" s="17" t="n">
        <v>7</v>
      </c>
      <c r="H22" s="17" t="n">
        <v>3</v>
      </c>
      <c r="I22" s="17" t="n">
        <v>0</v>
      </c>
      <c r="J22" s="17" t="n">
        <v>0</v>
      </c>
      <c r="K22" s="17" t="n">
        <v>0</v>
      </c>
      <c r="L22" s="17" t="n">
        <v>2</v>
      </c>
      <c r="M22" s="17" t="n">
        <v>0</v>
      </c>
      <c r="N22" s="17" t="n">
        <v>0</v>
      </c>
      <c r="O22" s="16" t="n">
        <f aca="false">SUM(B22:N22)</f>
        <v>884</v>
      </c>
      <c r="P22" s="18" t="n">
        <f aca="false">O22/AVERAGE($O$2:$O$25)</f>
        <v>0.569557046979866</v>
      </c>
    </row>
    <row r="23" customFormat="false" ht="15" hidden="false" customHeight="false" outlineLevel="0" collapsed="false">
      <c r="A23" s="16" t="s">
        <v>1924</v>
      </c>
      <c r="B23" s="17" t="n">
        <v>431</v>
      </c>
      <c r="C23" s="17" t="n">
        <v>37</v>
      </c>
      <c r="D23" s="17" t="n">
        <v>324</v>
      </c>
      <c r="E23" s="17" t="n">
        <v>4</v>
      </c>
      <c r="F23" s="17" t="n">
        <v>0</v>
      </c>
      <c r="G23" s="17" t="n">
        <v>0</v>
      </c>
      <c r="H23" s="17" t="n">
        <v>5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6" t="n">
        <f aca="false">SUM(B23:N23)</f>
        <v>801</v>
      </c>
      <c r="P23" s="18" t="n">
        <f aca="false">O23/AVERAGE($O$2:$O$25)</f>
        <v>0.516080536912752</v>
      </c>
    </row>
    <row r="24" customFormat="false" ht="15" hidden="false" customHeight="false" outlineLevel="0" collapsed="false">
      <c r="A24" s="16" t="s">
        <v>1925</v>
      </c>
      <c r="B24" s="17" t="n">
        <v>432</v>
      </c>
      <c r="C24" s="17" t="n">
        <v>37</v>
      </c>
      <c r="D24" s="17" t="n">
        <v>334</v>
      </c>
      <c r="E24" s="17" t="n">
        <v>11</v>
      </c>
      <c r="F24" s="17" t="n">
        <v>0</v>
      </c>
      <c r="G24" s="17" t="n">
        <v>7</v>
      </c>
      <c r="H24" s="17" t="n">
        <v>3</v>
      </c>
      <c r="I24" s="17" t="n">
        <v>0</v>
      </c>
      <c r="J24" s="17" t="n">
        <v>0</v>
      </c>
      <c r="K24" s="17" t="n">
        <v>0</v>
      </c>
      <c r="L24" s="17" t="n">
        <v>2</v>
      </c>
      <c r="M24" s="17" t="n">
        <v>0</v>
      </c>
      <c r="N24" s="17" t="n">
        <v>0</v>
      </c>
      <c r="O24" s="16" t="n">
        <f aca="false">SUM(B24:N24)</f>
        <v>826</v>
      </c>
      <c r="P24" s="18" t="n">
        <f aca="false">O24/AVERAGE($O$2:$O$25)</f>
        <v>0.532187919463087</v>
      </c>
    </row>
    <row r="25" customFormat="false" ht="15" hidden="false" customHeight="false" outlineLevel="0" collapsed="false">
      <c r="A25" s="16" t="s">
        <v>1926</v>
      </c>
      <c r="B25" s="17" t="n">
        <v>628</v>
      </c>
      <c r="C25" s="17" t="n">
        <v>48</v>
      </c>
      <c r="D25" s="17" t="n">
        <v>486</v>
      </c>
      <c r="E25" s="17" t="n">
        <v>6</v>
      </c>
      <c r="F25" s="17" t="n">
        <v>2</v>
      </c>
      <c r="G25" s="17" t="n">
        <v>4</v>
      </c>
      <c r="H25" s="17" t="n">
        <v>1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6" t="n">
        <f aca="false">SUM(B25:N25)</f>
        <v>1175</v>
      </c>
      <c r="P25" s="18" t="n">
        <f aca="false">O25/AVERAGE($O$2:$O$25)</f>
        <v>0.757046979865772</v>
      </c>
    </row>
    <row r="27" customFormat="false" ht="15" hidden="false" customHeight="false" outlineLevel="0" collapsed="false">
      <c r="A27" s="8" t="s">
        <v>1927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64"/>
    <col collapsed="false" customWidth="true" hidden="false" outlineLevel="0" max="4" min="4" style="0" width="50"/>
  </cols>
  <sheetData>
    <row r="1" customFormat="false" ht="31.5" hidden="false" customHeight="true" outlineLevel="0" collapsed="false">
      <c r="A1" s="9" t="s">
        <v>74</v>
      </c>
      <c r="B1" s="9" t="s">
        <v>1928</v>
      </c>
      <c r="C1" s="9" t="s">
        <v>1929</v>
      </c>
      <c r="D1" s="9" t="s">
        <v>1930</v>
      </c>
    </row>
    <row r="2" customFormat="false" ht="23.85" hidden="false" customHeight="false" outlineLevel="0" collapsed="false">
      <c r="A2" s="4" t="n">
        <v>1</v>
      </c>
      <c r="B2" s="4" t="s">
        <v>1931</v>
      </c>
      <c r="C2" s="4" t="s">
        <v>1932</v>
      </c>
      <c r="D2" s="4" t="s">
        <v>1933</v>
      </c>
    </row>
    <row r="3" customFormat="false" ht="23.85" hidden="false" customHeight="false" outlineLevel="0" collapsed="false">
      <c r="A3" s="4" t="n">
        <v>2</v>
      </c>
      <c r="B3" s="4" t="s">
        <v>1934</v>
      </c>
      <c r="C3" s="4" t="s">
        <v>1935</v>
      </c>
      <c r="D3" s="4" t="s">
        <v>1936</v>
      </c>
    </row>
    <row r="4" customFormat="false" ht="23.85" hidden="false" customHeight="false" outlineLevel="0" collapsed="false">
      <c r="A4" s="4" t="n">
        <v>3</v>
      </c>
      <c r="B4" s="4" t="s">
        <v>1937</v>
      </c>
      <c r="C4" s="4" t="s">
        <v>1938</v>
      </c>
      <c r="D4" s="4" t="s">
        <v>1939</v>
      </c>
    </row>
    <row r="5" customFormat="false" ht="23.85" hidden="false" customHeight="false" outlineLevel="0" collapsed="false">
      <c r="A5" s="4" t="n">
        <v>4</v>
      </c>
      <c r="B5" s="4" t="s">
        <v>1940</v>
      </c>
      <c r="C5" s="4" t="s">
        <v>1941</v>
      </c>
      <c r="D5" s="4" t="s">
        <v>1942</v>
      </c>
    </row>
    <row r="6" customFormat="false" ht="23.85" hidden="false" customHeight="false" outlineLevel="0" collapsed="false">
      <c r="A6" s="4" t="n">
        <v>5</v>
      </c>
      <c r="B6" s="4" t="s">
        <v>1943</v>
      </c>
      <c r="C6" s="4" t="s">
        <v>1944</v>
      </c>
      <c r="D6" s="4" t="s">
        <v>1945</v>
      </c>
    </row>
    <row r="7" customFormat="false" ht="15" hidden="false" customHeight="false" outlineLevel="0" collapsed="false">
      <c r="A7" s="4" t="n">
        <v>6</v>
      </c>
      <c r="B7" s="4" t="s">
        <v>1946</v>
      </c>
      <c r="C7" s="4" t="s">
        <v>1947</v>
      </c>
      <c r="D7" s="4" t="s">
        <v>1948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3" min="3" style="0" width="30"/>
  </cols>
  <sheetData>
    <row r="1" customFormat="false" ht="31.5" hidden="false" customHeight="true" outlineLevel="0" collapsed="false">
      <c r="A1" s="9" t="s">
        <v>1949</v>
      </c>
      <c r="B1" s="9" t="s">
        <v>1950</v>
      </c>
      <c r="C1" s="9" t="s">
        <v>1951</v>
      </c>
    </row>
    <row r="2" customFormat="false" ht="15" hidden="false" customHeight="false" outlineLevel="0" collapsed="false">
      <c r="A2" s="10" t="s">
        <v>1439</v>
      </c>
      <c r="B2" s="19" t="n">
        <v>645588</v>
      </c>
      <c r="C2" s="10" t="s">
        <v>1439</v>
      </c>
    </row>
    <row r="3" customFormat="false" ht="15" hidden="false" customHeight="false" outlineLevel="0" collapsed="false">
      <c r="A3" s="10" t="s">
        <v>1530</v>
      </c>
      <c r="B3" s="19" t="n">
        <v>159918</v>
      </c>
      <c r="C3" s="10" t="s">
        <v>1530</v>
      </c>
    </row>
    <row r="4" customFormat="false" ht="15" hidden="false" customHeight="false" outlineLevel="0" collapsed="false">
      <c r="A4" s="10" t="s">
        <v>1952</v>
      </c>
      <c r="B4" s="19" t="n">
        <v>65032</v>
      </c>
      <c r="C4" s="10" t="s">
        <v>1645</v>
      </c>
    </row>
    <row r="5" customFormat="false" ht="15" hidden="false" customHeight="false" outlineLevel="0" collapsed="false">
      <c r="A5" s="10" t="s">
        <v>1953</v>
      </c>
      <c r="B5" s="19" t="n">
        <v>55274</v>
      </c>
      <c r="C5" s="10" t="s">
        <v>1676</v>
      </c>
    </row>
    <row r="6" customFormat="false" ht="15" hidden="false" customHeight="false" outlineLevel="0" collapsed="false">
      <c r="A6" s="10" t="s">
        <v>1954</v>
      </c>
      <c r="B6" s="19" t="n">
        <v>51706</v>
      </c>
      <c r="C6" s="10" t="s">
        <v>1676</v>
      </c>
    </row>
    <row r="7" customFormat="false" ht="15" hidden="false" customHeight="false" outlineLevel="0" collapsed="false">
      <c r="A7" s="10" t="s">
        <v>1955</v>
      </c>
      <c r="B7" s="19" t="n">
        <v>49262</v>
      </c>
      <c r="C7" s="10" t="s">
        <v>1676</v>
      </c>
    </row>
    <row r="8" customFormat="false" ht="15" hidden="false" customHeight="false" outlineLevel="0" collapsed="false">
      <c r="A8" s="10" t="s">
        <v>1956</v>
      </c>
      <c r="B8" s="19" t="n">
        <v>36013</v>
      </c>
      <c r="C8" s="10" t="s">
        <v>1645</v>
      </c>
    </row>
    <row r="9" customFormat="false" ht="15" hidden="false" customHeight="false" outlineLevel="0" collapsed="false">
      <c r="A9" s="10" t="s">
        <v>1957</v>
      </c>
      <c r="B9" s="19" t="n">
        <v>27326</v>
      </c>
      <c r="C9" s="10" t="s">
        <v>1439</v>
      </c>
    </row>
    <row r="10" customFormat="false" ht="15" hidden="false" customHeight="false" outlineLevel="0" collapsed="false">
      <c r="A10" s="10" t="s">
        <v>1958</v>
      </c>
      <c r="B10" s="19" t="n">
        <v>26681</v>
      </c>
      <c r="C10" s="10" t="s">
        <v>1473</v>
      </c>
    </row>
    <row r="11" customFormat="false" ht="15" hidden="false" customHeight="false" outlineLevel="0" collapsed="false">
      <c r="A11" s="10" t="s">
        <v>1577</v>
      </c>
      <c r="B11" s="19" t="n">
        <v>26546</v>
      </c>
      <c r="C11" s="10" t="s">
        <v>1577</v>
      </c>
    </row>
    <row r="12" customFormat="false" ht="15" hidden="false" customHeight="false" outlineLevel="0" collapsed="false">
      <c r="A12" s="10" t="s">
        <v>1959</v>
      </c>
      <c r="B12" s="19" t="n">
        <v>25465</v>
      </c>
      <c r="C12" s="10" t="s">
        <v>1515</v>
      </c>
    </row>
    <row r="13" customFormat="false" ht="15" hidden="false" customHeight="false" outlineLevel="0" collapsed="false">
      <c r="A13" s="10" t="s">
        <v>1960</v>
      </c>
      <c r="B13" s="19" t="n">
        <v>21865</v>
      </c>
      <c r="C13" s="10" t="s">
        <v>1480</v>
      </c>
    </row>
    <row r="14" customFormat="false" ht="15" hidden="false" customHeight="false" outlineLevel="0" collapsed="false">
      <c r="A14" s="10" t="s">
        <v>1961</v>
      </c>
      <c r="B14" s="19" t="n">
        <v>20979</v>
      </c>
      <c r="C14" s="10" t="s">
        <v>1473</v>
      </c>
    </row>
    <row r="15" customFormat="false" ht="15" hidden="false" customHeight="false" outlineLevel="0" collapsed="false">
      <c r="A15" s="10" t="s">
        <v>1962</v>
      </c>
      <c r="B15" s="19" t="n">
        <v>20180</v>
      </c>
      <c r="C15" s="10" t="s">
        <v>1520</v>
      </c>
    </row>
    <row r="16" customFormat="false" ht="15" hidden="false" customHeight="false" outlineLevel="0" collapsed="false">
      <c r="A16" s="10" t="s">
        <v>1963</v>
      </c>
      <c r="B16" s="19" t="n">
        <v>18204</v>
      </c>
      <c r="C16" s="10" t="s">
        <v>1439</v>
      </c>
    </row>
    <row r="17" customFormat="false" ht="15" hidden="false" customHeight="false" outlineLevel="0" collapsed="false">
      <c r="A17" s="10" t="s">
        <v>1964</v>
      </c>
      <c r="B17" s="19" t="n">
        <v>17232</v>
      </c>
      <c r="C17" s="10" t="s">
        <v>1488</v>
      </c>
    </row>
    <row r="18" customFormat="false" ht="15" hidden="false" customHeight="false" outlineLevel="0" collapsed="false">
      <c r="A18" s="10" t="s">
        <v>1965</v>
      </c>
      <c r="B18" s="19" t="n">
        <v>17056</v>
      </c>
      <c r="C18" s="10" t="s">
        <v>1520</v>
      </c>
    </row>
    <row r="19" customFormat="false" ht="15" hidden="false" customHeight="false" outlineLevel="0" collapsed="false">
      <c r="A19" s="10" t="s">
        <v>1966</v>
      </c>
      <c r="B19" s="19" t="n">
        <v>14623</v>
      </c>
      <c r="C19" s="10" t="s">
        <v>1473</v>
      </c>
    </row>
    <row r="20" customFormat="false" ht="15" hidden="false" customHeight="false" outlineLevel="0" collapsed="false">
      <c r="A20" s="10" t="s">
        <v>1967</v>
      </c>
      <c r="B20" s="19" t="n">
        <v>14204</v>
      </c>
      <c r="C20" s="10" t="s">
        <v>1473</v>
      </c>
    </row>
    <row r="21" customFormat="false" ht="15" hidden="false" customHeight="false" outlineLevel="0" collapsed="false">
      <c r="A21" s="10" t="s">
        <v>1968</v>
      </c>
      <c r="B21" s="19" t="n">
        <v>12868</v>
      </c>
      <c r="C21" s="10" t="s">
        <v>1488</v>
      </c>
    </row>
    <row r="22" customFormat="false" ht="15" hidden="false" customHeight="false" outlineLevel="0" collapsed="false">
      <c r="A22" s="10" t="s">
        <v>1969</v>
      </c>
      <c r="B22" s="19" t="n">
        <v>11454</v>
      </c>
      <c r="C22" s="10" t="s">
        <v>1439</v>
      </c>
    </row>
    <row r="23" customFormat="false" ht="15" hidden="false" customHeight="false" outlineLevel="0" collapsed="false">
      <c r="A23" s="10" t="s">
        <v>1970</v>
      </c>
      <c r="B23" s="19" t="n">
        <v>10621</v>
      </c>
      <c r="C23" s="10" t="s">
        <v>1439</v>
      </c>
    </row>
    <row r="24" customFormat="false" ht="15" hidden="false" customHeight="false" outlineLevel="0" collapsed="false">
      <c r="A24" s="10" t="s">
        <v>1971</v>
      </c>
      <c r="B24" s="19" t="n">
        <v>10619</v>
      </c>
      <c r="C24" s="10" t="s">
        <v>1473</v>
      </c>
    </row>
    <row r="25" customFormat="false" ht="15" hidden="false" customHeight="false" outlineLevel="0" collapsed="false">
      <c r="A25" s="10" t="s">
        <v>1972</v>
      </c>
      <c r="B25" s="19" t="n">
        <v>10143</v>
      </c>
      <c r="C25" s="10" t="s">
        <v>1703</v>
      </c>
    </row>
    <row r="26" customFormat="false" ht="15" hidden="false" customHeight="false" outlineLevel="0" collapsed="false">
      <c r="A26" s="10" t="s">
        <v>1973</v>
      </c>
      <c r="B26" s="19" t="n">
        <v>10082</v>
      </c>
      <c r="C26" s="10" t="s">
        <v>1473</v>
      </c>
    </row>
    <row r="27" customFormat="false" ht="15" hidden="false" customHeight="false" outlineLevel="0" collapsed="false">
      <c r="A27" s="10" t="s">
        <v>1974</v>
      </c>
      <c r="B27" s="19" t="n">
        <v>9906</v>
      </c>
      <c r="C27" s="10" t="s">
        <v>1473</v>
      </c>
    </row>
    <row r="28" customFormat="false" ht="15" hidden="false" customHeight="false" outlineLevel="0" collapsed="false">
      <c r="A28" s="10" t="s">
        <v>1975</v>
      </c>
      <c r="B28" s="19" t="n">
        <v>9811</v>
      </c>
      <c r="C28" s="10" t="s">
        <v>1473</v>
      </c>
    </row>
    <row r="29" customFormat="false" ht="15" hidden="false" customHeight="false" outlineLevel="0" collapsed="false">
      <c r="A29" s="10" t="s">
        <v>1976</v>
      </c>
      <c r="B29" s="19" t="n">
        <v>9797</v>
      </c>
      <c r="C29" s="10" t="s">
        <v>1473</v>
      </c>
    </row>
    <row r="30" customFormat="false" ht="15" hidden="false" customHeight="false" outlineLevel="0" collapsed="false">
      <c r="A30" s="10" t="s">
        <v>1977</v>
      </c>
      <c r="B30" s="19" t="n">
        <v>8309</v>
      </c>
      <c r="C30" s="10" t="s">
        <v>1439</v>
      </c>
    </row>
    <row r="31" customFormat="false" ht="15" hidden="false" customHeight="false" outlineLevel="0" collapsed="false">
      <c r="A31" s="10" t="s">
        <v>1978</v>
      </c>
      <c r="B31" s="19" t="n">
        <v>8192</v>
      </c>
      <c r="C31" s="10" t="s">
        <v>1473</v>
      </c>
    </row>
    <row r="32" customFormat="false" ht="15" hidden="false" customHeight="false" outlineLevel="0" collapsed="false">
      <c r="A32" s="10" t="s">
        <v>1979</v>
      </c>
      <c r="B32" s="19" t="n">
        <v>8066</v>
      </c>
      <c r="C32" s="10" t="s">
        <v>1473</v>
      </c>
    </row>
    <row r="33" customFormat="false" ht="15" hidden="false" customHeight="false" outlineLevel="0" collapsed="false">
      <c r="A33" s="10" t="s">
        <v>1980</v>
      </c>
      <c r="B33" s="19" t="n">
        <v>7705</v>
      </c>
      <c r="C33" s="10" t="s">
        <v>1445</v>
      </c>
    </row>
    <row r="34" customFormat="false" ht="15" hidden="false" customHeight="false" outlineLevel="0" collapsed="false">
      <c r="A34" s="10" t="s">
        <v>1981</v>
      </c>
      <c r="B34" s="19" t="n">
        <v>7127</v>
      </c>
      <c r="C34" s="10" t="s">
        <v>1534</v>
      </c>
    </row>
    <row r="35" customFormat="false" ht="15" hidden="false" customHeight="false" outlineLevel="0" collapsed="false">
      <c r="A35" s="10" t="s">
        <v>1982</v>
      </c>
      <c r="B35" s="19" t="n">
        <v>7122</v>
      </c>
      <c r="C35" s="10" t="s">
        <v>1473</v>
      </c>
    </row>
    <row r="36" customFormat="false" ht="15" hidden="false" customHeight="false" outlineLevel="0" collapsed="false">
      <c r="A36" s="10" t="s">
        <v>1983</v>
      </c>
      <c r="B36" s="19" t="n">
        <v>7121</v>
      </c>
      <c r="C36" s="10" t="s">
        <v>1473</v>
      </c>
    </row>
    <row r="37" customFormat="false" ht="15" hidden="false" customHeight="false" outlineLevel="0" collapsed="false">
      <c r="A37" s="10" t="s">
        <v>1984</v>
      </c>
      <c r="B37" s="19" t="n">
        <v>6880</v>
      </c>
      <c r="C37" s="10" t="s">
        <v>1645</v>
      </c>
    </row>
    <row r="38" customFormat="false" ht="15" hidden="false" customHeight="false" outlineLevel="0" collapsed="false">
      <c r="A38" s="10" t="s">
        <v>1985</v>
      </c>
      <c r="B38" s="19" t="n">
        <v>6761</v>
      </c>
      <c r="C38" s="10" t="s">
        <v>1473</v>
      </c>
    </row>
    <row r="39" customFormat="false" ht="15" hidden="false" customHeight="false" outlineLevel="0" collapsed="false">
      <c r="A39" s="10" t="s">
        <v>1986</v>
      </c>
      <c r="B39" s="19" t="n">
        <v>6461</v>
      </c>
      <c r="C39" s="10" t="s">
        <v>1473</v>
      </c>
    </row>
    <row r="40" customFormat="false" ht="15" hidden="false" customHeight="false" outlineLevel="0" collapsed="false">
      <c r="A40" s="10" t="s">
        <v>1987</v>
      </c>
      <c r="B40" s="19" t="n">
        <v>6165</v>
      </c>
      <c r="C40" s="10" t="s">
        <v>1439</v>
      </c>
    </row>
    <row r="41" customFormat="false" ht="15" hidden="false" customHeight="false" outlineLevel="0" collapsed="false">
      <c r="A41" s="10" t="s">
        <v>1988</v>
      </c>
      <c r="B41" s="19" t="n">
        <v>5923</v>
      </c>
      <c r="C41" s="10" t="s">
        <v>1569</v>
      </c>
    </row>
    <row r="42" customFormat="false" ht="15" hidden="false" customHeight="false" outlineLevel="0" collapsed="false">
      <c r="A42" s="10" t="s">
        <v>1989</v>
      </c>
      <c r="B42" s="19" t="n">
        <v>5809</v>
      </c>
      <c r="C42" s="10" t="s">
        <v>1488</v>
      </c>
    </row>
    <row r="43" customFormat="false" ht="15" hidden="false" customHeight="false" outlineLevel="0" collapsed="false">
      <c r="A43" s="10" t="s">
        <v>1990</v>
      </c>
      <c r="B43" s="19" t="n">
        <v>5743</v>
      </c>
      <c r="C43" s="10" t="s">
        <v>1213</v>
      </c>
    </row>
    <row r="44" customFormat="false" ht="15" hidden="false" customHeight="false" outlineLevel="0" collapsed="false">
      <c r="A44" s="10" t="s">
        <v>1991</v>
      </c>
      <c r="B44" s="19" t="n">
        <v>5462</v>
      </c>
      <c r="C44" s="10" t="s">
        <v>1443</v>
      </c>
    </row>
    <row r="45" customFormat="false" ht="15" hidden="false" customHeight="false" outlineLevel="0" collapsed="false">
      <c r="A45" s="10" t="s">
        <v>1992</v>
      </c>
      <c r="B45" s="19" t="n">
        <v>5459</v>
      </c>
      <c r="C45" s="10" t="s">
        <v>1473</v>
      </c>
    </row>
    <row r="46" customFormat="false" ht="15" hidden="false" customHeight="false" outlineLevel="0" collapsed="false">
      <c r="A46" s="10" t="s">
        <v>1993</v>
      </c>
      <c r="B46" s="19" t="n">
        <v>5375</v>
      </c>
      <c r="C46" s="10" t="s">
        <v>1676</v>
      </c>
    </row>
    <row r="47" customFormat="false" ht="15" hidden="false" customHeight="false" outlineLevel="0" collapsed="false">
      <c r="A47" s="10" t="s">
        <v>1994</v>
      </c>
      <c r="B47" s="19" t="n">
        <v>5254</v>
      </c>
      <c r="C47" s="10" t="s">
        <v>1655</v>
      </c>
    </row>
    <row r="48" customFormat="false" ht="15" hidden="false" customHeight="false" outlineLevel="0" collapsed="false">
      <c r="A48" s="10" t="s">
        <v>1995</v>
      </c>
      <c r="B48" s="19" t="n">
        <v>4971</v>
      </c>
      <c r="C48" s="10" t="s">
        <v>1488</v>
      </c>
    </row>
    <row r="49" customFormat="false" ht="15" hidden="false" customHeight="false" outlineLevel="0" collapsed="false">
      <c r="A49" s="10" t="s">
        <v>1996</v>
      </c>
      <c r="B49" s="19" t="n">
        <v>4345</v>
      </c>
      <c r="C49" s="10" t="s">
        <v>1473</v>
      </c>
    </row>
    <row r="50" customFormat="false" ht="15" hidden="false" customHeight="false" outlineLevel="0" collapsed="false">
      <c r="A50" s="10" t="s">
        <v>1997</v>
      </c>
      <c r="B50" s="19" t="n">
        <v>4055</v>
      </c>
      <c r="C50" s="10" t="s">
        <v>1439</v>
      </c>
    </row>
    <row r="51" customFormat="false" ht="15" hidden="false" customHeight="false" outlineLevel="0" collapsed="false">
      <c r="A51" s="10" t="s">
        <v>1998</v>
      </c>
      <c r="B51" s="19" t="n">
        <v>3909</v>
      </c>
      <c r="C51" s="10" t="s">
        <v>1488</v>
      </c>
    </row>
    <row r="52" customFormat="false" ht="15" hidden="false" customHeight="false" outlineLevel="0" collapsed="false">
      <c r="A52" s="10" t="s">
        <v>1999</v>
      </c>
      <c r="B52" s="19" t="n">
        <v>3732</v>
      </c>
      <c r="C52" s="10" t="s">
        <v>1439</v>
      </c>
    </row>
    <row r="53" customFormat="false" ht="15" hidden="false" customHeight="false" outlineLevel="0" collapsed="false">
      <c r="A53" s="10" t="s">
        <v>2000</v>
      </c>
      <c r="B53" s="19" t="n">
        <v>3706</v>
      </c>
      <c r="C53" s="10" t="s">
        <v>1473</v>
      </c>
    </row>
    <row r="54" customFormat="false" ht="15" hidden="false" customHeight="false" outlineLevel="0" collapsed="false">
      <c r="A54" s="10" t="s">
        <v>2001</v>
      </c>
      <c r="B54" s="19" t="n">
        <v>3549</v>
      </c>
      <c r="C54" s="10" t="s">
        <v>1676</v>
      </c>
    </row>
    <row r="55" customFormat="false" ht="15" hidden="false" customHeight="false" outlineLevel="0" collapsed="false">
      <c r="A55" s="10" t="s">
        <v>2002</v>
      </c>
      <c r="B55" s="19" t="n">
        <v>3199</v>
      </c>
      <c r="C55" s="10" t="s">
        <v>1515</v>
      </c>
    </row>
    <row r="56" customFormat="false" ht="15" hidden="false" customHeight="false" outlineLevel="0" collapsed="false">
      <c r="A56" s="10" t="s">
        <v>2003</v>
      </c>
      <c r="B56" s="19" t="n">
        <v>3183</v>
      </c>
      <c r="C56" s="10" t="s">
        <v>1445</v>
      </c>
    </row>
    <row r="57" customFormat="false" ht="15" hidden="false" customHeight="false" outlineLevel="0" collapsed="false">
      <c r="A57" s="10" t="s">
        <v>2004</v>
      </c>
      <c r="B57" s="19" t="n">
        <v>3159</v>
      </c>
      <c r="C57" s="10" t="s">
        <v>1473</v>
      </c>
    </row>
    <row r="58" customFormat="false" ht="15" hidden="false" customHeight="false" outlineLevel="0" collapsed="false">
      <c r="A58" s="10" t="s">
        <v>2005</v>
      </c>
      <c r="B58" s="19" t="n">
        <v>3103</v>
      </c>
      <c r="C58" s="10" t="s">
        <v>1480</v>
      </c>
    </row>
    <row r="59" customFormat="false" ht="15" hidden="false" customHeight="false" outlineLevel="0" collapsed="false">
      <c r="A59" s="10" t="s">
        <v>2006</v>
      </c>
      <c r="B59" s="19" t="n">
        <v>2949</v>
      </c>
      <c r="C59" s="10" t="s">
        <v>1473</v>
      </c>
    </row>
    <row r="60" customFormat="false" ht="15" hidden="false" customHeight="false" outlineLevel="0" collapsed="false">
      <c r="A60" s="10" t="s">
        <v>2007</v>
      </c>
      <c r="B60" s="19" t="n">
        <v>2879</v>
      </c>
      <c r="C60" s="10" t="s">
        <v>1676</v>
      </c>
    </row>
    <row r="61" customFormat="false" ht="15" hidden="false" customHeight="false" outlineLevel="0" collapsed="false">
      <c r="A61" s="10" t="s">
        <v>2008</v>
      </c>
      <c r="B61" s="19" t="n">
        <v>2848</v>
      </c>
      <c r="C61" s="10" t="s">
        <v>1439</v>
      </c>
    </row>
    <row r="62" customFormat="false" ht="15" hidden="false" customHeight="false" outlineLevel="0" collapsed="false">
      <c r="A62" s="10" t="s">
        <v>2009</v>
      </c>
      <c r="B62" s="19" t="n">
        <v>2768</v>
      </c>
      <c r="C62" s="10" t="s">
        <v>1676</v>
      </c>
    </row>
    <row r="63" customFormat="false" ht="15" hidden="false" customHeight="false" outlineLevel="0" collapsed="false">
      <c r="A63" s="10" t="s">
        <v>2010</v>
      </c>
      <c r="B63" s="19" t="n">
        <v>2735</v>
      </c>
      <c r="C63" s="10" t="s">
        <v>1591</v>
      </c>
    </row>
    <row r="64" customFormat="false" ht="15" hidden="false" customHeight="false" outlineLevel="0" collapsed="false">
      <c r="A64" s="10" t="s">
        <v>2011</v>
      </c>
      <c r="B64" s="19" t="n">
        <v>2735</v>
      </c>
      <c r="C64" s="10" t="s">
        <v>1676</v>
      </c>
    </row>
    <row r="65" customFormat="false" ht="15" hidden="false" customHeight="false" outlineLevel="0" collapsed="false">
      <c r="A65" s="10" t="s">
        <v>2012</v>
      </c>
      <c r="B65" s="19" t="n">
        <v>2717</v>
      </c>
      <c r="C65" s="10" t="s">
        <v>1464</v>
      </c>
    </row>
    <row r="66" customFormat="false" ht="15" hidden="false" customHeight="false" outlineLevel="0" collapsed="false">
      <c r="A66" s="10" t="s">
        <v>2013</v>
      </c>
      <c r="B66" s="19" t="n">
        <v>2713</v>
      </c>
      <c r="C66" s="10" t="s">
        <v>1478</v>
      </c>
    </row>
    <row r="67" customFormat="false" ht="15" hidden="false" customHeight="false" outlineLevel="0" collapsed="false">
      <c r="A67" s="10" t="s">
        <v>2014</v>
      </c>
      <c r="B67" s="19" t="n">
        <v>2690</v>
      </c>
      <c r="C67" s="10" t="s">
        <v>1473</v>
      </c>
    </row>
    <row r="68" customFormat="false" ht="15" hidden="false" customHeight="false" outlineLevel="0" collapsed="false">
      <c r="A68" s="10" t="s">
        <v>2015</v>
      </c>
      <c r="B68" s="19" t="n">
        <v>2571</v>
      </c>
      <c r="C68" s="10" t="s">
        <v>1473</v>
      </c>
    </row>
    <row r="69" customFormat="false" ht="15" hidden="false" customHeight="false" outlineLevel="0" collapsed="false">
      <c r="A69" s="10" t="s">
        <v>2016</v>
      </c>
      <c r="B69" s="19" t="n">
        <v>2323</v>
      </c>
      <c r="C69" s="10" t="s">
        <v>1520</v>
      </c>
    </row>
    <row r="70" customFormat="false" ht="15" hidden="false" customHeight="false" outlineLevel="0" collapsed="false">
      <c r="A70" s="10" t="s">
        <v>2017</v>
      </c>
      <c r="B70" s="19" t="n">
        <v>2280</v>
      </c>
      <c r="C70" s="10" t="s">
        <v>1488</v>
      </c>
    </row>
    <row r="71" customFormat="false" ht="15" hidden="false" customHeight="false" outlineLevel="0" collapsed="false">
      <c r="A71" s="10" t="s">
        <v>2018</v>
      </c>
      <c r="B71" s="19" t="n">
        <v>2201</v>
      </c>
      <c r="C71" s="10" t="s">
        <v>1609</v>
      </c>
    </row>
    <row r="72" customFormat="false" ht="15" hidden="false" customHeight="false" outlineLevel="0" collapsed="false">
      <c r="A72" s="10" t="s">
        <v>2019</v>
      </c>
      <c r="B72" s="19" t="n">
        <v>2104</v>
      </c>
      <c r="C72" s="10" t="s">
        <v>1473</v>
      </c>
    </row>
    <row r="73" customFormat="false" ht="15" hidden="false" customHeight="false" outlineLevel="0" collapsed="false">
      <c r="A73" s="10" t="s">
        <v>2020</v>
      </c>
      <c r="B73" s="19" t="n">
        <v>2012</v>
      </c>
      <c r="C73" s="10" t="s">
        <v>1473</v>
      </c>
    </row>
    <row r="74" customFormat="false" ht="15" hidden="false" customHeight="false" outlineLevel="0" collapsed="false">
      <c r="A74" s="10" t="s">
        <v>2021</v>
      </c>
      <c r="B74" s="19" t="n">
        <v>2006</v>
      </c>
      <c r="C74" s="10" t="s">
        <v>1569</v>
      </c>
    </row>
    <row r="75" customFormat="false" ht="15" hidden="false" customHeight="false" outlineLevel="0" collapsed="false">
      <c r="A75" s="10" t="s">
        <v>2022</v>
      </c>
      <c r="B75" s="19" t="n">
        <v>1963</v>
      </c>
      <c r="C75" s="10" t="s">
        <v>1703</v>
      </c>
    </row>
    <row r="76" customFormat="false" ht="15" hidden="false" customHeight="false" outlineLevel="0" collapsed="false">
      <c r="A76" s="10" t="s">
        <v>2023</v>
      </c>
      <c r="B76" s="19" t="n">
        <v>1946</v>
      </c>
      <c r="C76" s="10" t="s">
        <v>1445</v>
      </c>
    </row>
    <row r="77" customFormat="false" ht="15" hidden="false" customHeight="false" outlineLevel="0" collapsed="false">
      <c r="A77" s="10" t="s">
        <v>2024</v>
      </c>
      <c r="B77" s="19" t="n">
        <v>1944</v>
      </c>
      <c r="C77" s="10" t="s">
        <v>1445</v>
      </c>
    </row>
    <row r="78" customFormat="false" ht="15" hidden="false" customHeight="false" outlineLevel="0" collapsed="false">
      <c r="A78" s="10" t="s">
        <v>2025</v>
      </c>
      <c r="B78" s="19" t="n">
        <v>1774</v>
      </c>
      <c r="C78" s="10" t="s">
        <v>1488</v>
      </c>
    </row>
    <row r="79" customFormat="false" ht="15" hidden="false" customHeight="false" outlineLevel="0" collapsed="false">
      <c r="A79" s="10" t="s">
        <v>2026</v>
      </c>
      <c r="B79" s="19" t="n">
        <v>1753</v>
      </c>
      <c r="C79" s="10" t="s">
        <v>1488</v>
      </c>
    </row>
    <row r="80" customFormat="false" ht="15" hidden="false" customHeight="false" outlineLevel="0" collapsed="false">
      <c r="A80" s="10" t="s">
        <v>2027</v>
      </c>
      <c r="B80" s="19" t="n">
        <v>1650</v>
      </c>
      <c r="C80" s="10" t="s">
        <v>1445</v>
      </c>
    </row>
    <row r="81" customFormat="false" ht="15" hidden="false" customHeight="false" outlineLevel="0" collapsed="false">
      <c r="A81" s="10" t="s">
        <v>2028</v>
      </c>
      <c r="B81" s="19" t="n">
        <v>1514</v>
      </c>
      <c r="C81" s="10" t="s">
        <v>1703</v>
      </c>
    </row>
    <row r="82" customFormat="false" ht="15" hidden="false" customHeight="false" outlineLevel="0" collapsed="false">
      <c r="A82" s="10" t="s">
        <v>2029</v>
      </c>
      <c r="B82" s="19" t="n">
        <v>1464</v>
      </c>
      <c r="C82" s="10" t="s">
        <v>1515</v>
      </c>
    </row>
    <row r="83" customFormat="false" ht="15" hidden="false" customHeight="false" outlineLevel="0" collapsed="false">
      <c r="A83" s="10" t="s">
        <v>2030</v>
      </c>
      <c r="B83" s="19" t="n">
        <v>1395</v>
      </c>
      <c r="C83" s="10" t="s">
        <v>1645</v>
      </c>
    </row>
    <row r="84" customFormat="false" ht="15" hidden="false" customHeight="false" outlineLevel="0" collapsed="false">
      <c r="A84" s="10" t="s">
        <v>2031</v>
      </c>
      <c r="B84" s="19" t="n">
        <v>1382</v>
      </c>
      <c r="C84" s="10" t="s">
        <v>1520</v>
      </c>
    </row>
    <row r="85" customFormat="false" ht="15" hidden="false" customHeight="false" outlineLevel="0" collapsed="false">
      <c r="A85" s="10" t="s">
        <v>2032</v>
      </c>
      <c r="B85" s="19" t="n">
        <v>1351</v>
      </c>
      <c r="C85" s="10" t="s">
        <v>1462</v>
      </c>
    </row>
    <row r="86" customFormat="false" ht="15" hidden="false" customHeight="false" outlineLevel="0" collapsed="false">
      <c r="A86" s="10" t="s">
        <v>2033</v>
      </c>
      <c r="B86" s="19" t="n">
        <v>1339</v>
      </c>
      <c r="C86" s="10" t="s">
        <v>1439</v>
      </c>
    </row>
    <row r="87" customFormat="false" ht="15" hidden="false" customHeight="false" outlineLevel="0" collapsed="false">
      <c r="A87" s="10" t="s">
        <v>2034</v>
      </c>
      <c r="B87" s="19" t="n">
        <v>1322</v>
      </c>
      <c r="C87" s="10" t="s">
        <v>1581</v>
      </c>
    </row>
    <row r="88" customFormat="false" ht="15" hidden="false" customHeight="false" outlineLevel="0" collapsed="false">
      <c r="A88" s="10" t="s">
        <v>2035</v>
      </c>
      <c r="B88" s="19" t="n">
        <v>1225</v>
      </c>
      <c r="C88" s="10" t="s">
        <v>1439</v>
      </c>
    </row>
    <row r="89" customFormat="false" ht="15" hidden="false" customHeight="false" outlineLevel="0" collapsed="false">
      <c r="A89" s="10" t="s">
        <v>2036</v>
      </c>
      <c r="B89" s="19" t="n">
        <v>1179</v>
      </c>
      <c r="C89" s="10" t="s">
        <v>1439</v>
      </c>
    </row>
    <row r="90" customFormat="false" ht="15" hidden="false" customHeight="false" outlineLevel="0" collapsed="false">
      <c r="A90" s="10" t="s">
        <v>2037</v>
      </c>
      <c r="B90" s="19" t="n">
        <v>1172</v>
      </c>
      <c r="C90" s="10" t="s">
        <v>1439</v>
      </c>
    </row>
    <row r="91" customFormat="false" ht="15" hidden="false" customHeight="false" outlineLevel="0" collapsed="false">
      <c r="A91" s="10" t="s">
        <v>2038</v>
      </c>
      <c r="B91" s="19" t="n">
        <v>1163</v>
      </c>
      <c r="C91" s="10" t="s">
        <v>1520</v>
      </c>
    </row>
    <row r="92" customFormat="false" ht="15" hidden="false" customHeight="false" outlineLevel="0" collapsed="false">
      <c r="A92" s="10" t="s">
        <v>2039</v>
      </c>
      <c r="B92" s="19" t="n">
        <v>1144</v>
      </c>
      <c r="C92" s="10" t="s">
        <v>1488</v>
      </c>
    </row>
    <row r="93" customFormat="false" ht="15" hidden="false" customHeight="false" outlineLevel="0" collapsed="false">
      <c r="A93" s="10" t="s">
        <v>2040</v>
      </c>
      <c r="B93" s="19" t="n">
        <v>1122</v>
      </c>
      <c r="C93" s="10" t="s">
        <v>1473</v>
      </c>
    </row>
    <row r="94" customFormat="false" ht="15" hidden="false" customHeight="false" outlineLevel="0" collapsed="false">
      <c r="A94" s="10" t="s">
        <v>2041</v>
      </c>
      <c r="B94" s="19" t="n">
        <v>1096</v>
      </c>
      <c r="C94" s="10" t="s">
        <v>1439</v>
      </c>
    </row>
    <row r="95" customFormat="false" ht="15" hidden="false" customHeight="false" outlineLevel="0" collapsed="false">
      <c r="A95" s="10" t="s">
        <v>2042</v>
      </c>
      <c r="B95" s="19" t="n">
        <v>1096</v>
      </c>
      <c r="C95" s="10" t="s">
        <v>1496</v>
      </c>
    </row>
    <row r="96" customFormat="false" ht="15" hidden="false" customHeight="false" outlineLevel="0" collapsed="false">
      <c r="A96" s="10" t="s">
        <v>2043</v>
      </c>
      <c r="B96" s="19" t="n">
        <v>1081</v>
      </c>
      <c r="C96" s="10" t="s">
        <v>1699</v>
      </c>
    </row>
    <row r="97" customFormat="false" ht="15" hidden="false" customHeight="false" outlineLevel="0" collapsed="false">
      <c r="A97" s="10" t="s">
        <v>2044</v>
      </c>
      <c r="B97" s="19" t="n">
        <v>1079</v>
      </c>
      <c r="C97" s="10" t="s">
        <v>1473</v>
      </c>
    </row>
    <row r="98" customFormat="false" ht="15" hidden="false" customHeight="false" outlineLevel="0" collapsed="false">
      <c r="A98" s="10" t="s">
        <v>2045</v>
      </c>
      <c r="B98" s="19" t="n">
        <v>1064</v>
      </c>
      <c r="C98" s="10" t="s">
        <v>1445</v>
      </c>
    </row>
    <row r="99" customFormat="false" ht="15" hidden="false" customHeight="false" outlineLevel="0" collapsed="false">
      <c r="A99" s="10" t="s">
        <v>2046</v>
      </c>
      <c r="B99" s="19" t="n">
        <v>1017</v>
      </c>
      <c r="C99" s="10" t="s">
        <v>1478</v>
      </c>
    </row>
    <row r="100" customFormat="false" ht="15" hidden="false" customHeight="false" outlineLevel="0" collapsed="false">
      <c r="A100" s="10" t="s">
        <v>2047</v>
      </c>
      <c r="B100" s="19" t="n">
        <v>1012</v>
      </c>
      <c r="C100" s="10" t="s">
        <v>1515</v>
      </c>
    </row>
    <row r="101" customFormat="false" ht="15" hidden="false" customHeight="false" outlineLevel="0" collapsed="false">
      <c r="A101" s="10" t="s">
        <v>2048</v>
      </c>
      <c r="B101" s="19" t="n">
        <v>958</v>
      </c>
      <c r="C101" s="10" t="s">
        <v>1494</v>
      </c>
    </row>
    <row r="102" customFormat="false" ht="15" hidden="false" customHeight="false" outlineLevel="0" collapsed="false">
      <c r="A102" s="10" t="s">
        <v>2049</v>
      </c>
      <c r="B102" s="19" t="n">
        <v>919</v>
      </c>
      <c r="C102" s="10" t="s">
        <v>1473</v>
      </c>
    </row>
    <row r="103" customFormat="false" ht="15" hidden="false" customHeight="false" outlineLevel="0" collapsed="false">
      <c r="A103" s="10" t="s">
        <v>2050</v>
      </c>
      <c r="B103" s="19" t="n">
        <v>907</v>
      </c>
      <c r="C103" s="10" t="s">
        <v>1520</v>
      </c>
    </row>
    <row r="104" customFormat="false" ht="15" hidden="false" customHeight="false" outlineLevel="0" collapsed="false">
      <c r="A104" s="10" t="s">
        <v>2051</v>
      </c>
      <c r="B104" s="19" t="n">
        <v>902</v>
      </c>
      <c r="C104" s="10" t="s">
        <v>1488</v>
      </c>
    </row>
    <row r="105" customFormat="false" ht="15" hidden="false" customHeight="false" outlineLevel="0" collapsed="false">
      <c r="A105" s="10" t="s">
        <v>2052</v>
      </c>
      <c r="B105" s="19" t="n">
        <v>886</v>
      </c>
      <c r="C105" s="10" t="s">
        <v>1676</v>
      </c>
    </row>
    <row r="106" customFormat="false" ht="15" hidden="false" customHeight="false" outlineLevel="0" collapsed="false">
      <c r="A106" s="10" t="s">
        <v>2053</v>
      </c>
      <c r="B106" s="19" t="n">
        <v>882</v>
      </c>
      <c r="C106" s="10" t="s">
        <v>1439</v>
      </c>
    </row>
    <row r="107" customFormat="false" ht="15" hidden="false" customHeight="false" outlineLevel="0" collapsed="false">
      <c r="A107" s="10" t="s">
        <v>2054</v>
      </c>
      <c r="B107" s="19" t="n">
        <v>870</v>
      </c>
      <c r="C107" s="10" t="s">
        <v>1473</v>
      </c>
    </row>
    <row r="108" customFormat="false" ht="15" hidden="false" customHeight="false" outlineLevel="0" collapsed="false">
      <c r="A108" s="10" t="s">
        <v>2055</v>
      </c>
      <c r="B108" s="19" t="n">
        <v>839</v>
      </c>
      <c r="C108" s="10" t="s">
        <v>1496</v>
      </c>
    </row>
    <row r="109" customFormat="false" ht="15" hidden="false" customHeight="false" outlineLevel="0" collapsed="false">
      <c r="A109" s="10" t="s">
        <v>2056</v>
      </c>
      <c r="B109" s="19" t="n">
        <v>786</v>
      </c>
      <c r="C109" s="10" t="s">
        <v>1488</v>
      </c>
    </row>
    <row r="110" customFormat="false" ht="15" hidden="false" customHeight="false" outlineLevel="0" collapsed="false">
      <c r="A110" s="10" t="s">
        <v>2057</v>
      </c>
      <c r="B110" s="19" t="n">
        <v>783</v>
      </c>
      <c r="C110" s="10" t="s">
        <v>1473</v>
      </c>
    </row>
    <row r="111" customFormat="false" ht="15" hidden="false" customHeight="false" outlineLevel="0" collapsed="false">
      <c r="A111" s="10" t="s">
        <v>2058</v>
      </c>
      <c r="B111" s="19" t="n">
        <v>780</v>
      </c>
      <c r="C111" s="10" t="s">
        <v>1643</v>
      </c>
    </row>
    <row r="112" customFormat="false" ht="15" hidden="false" customHeight="false" outlineLevel="0" collapsed="false">
      <c r="A112" s="10" t="s">
        <v>2059</v>
      </c>
      <c r="B112" s="19" t="n">
        <v>743</v>
      </c>
      <c r="C112" s="10" t="s">
        <v>1676</v>
      </c>
    </row>
    <row r="113" customFormat="false" ht="15" hidden="false" customHeight="false" outlineLevel="0" collapsed="false">
      <c r="A113" s="10" t="s">
        <v>2060</v>
      </c>
      <c r="B113" s="19" t="n">
        <v>741</v>
      </c>
      <c r="C113" s="10" t="s">
        <v>1478</v>
      </c>
    </row>
    <row r="114" customFormat="false" ht="15" hidden="false" customHeight="false" outlineLevel="0" collapsed="false">
      <c r="A114" s="10" t="s">
        <v>2061</v>
      </c>
      <c r="B114" s="19" t="n">
        <v>717</v>
      </c>
      <c r="C114" s="10" t="s">
        <v>1520</v>
      </c>
    </row>
    <row r="115" customFormat="false" ht="15" hidden="false" customHeight="false" outlineLevel="0" collapsed="false">
      <c r="A115" s="10" t="s">
        <v>2062</v>
      </c>
      <c r="B115" s="19" t="n">
        <v>716</v>
      </c>
      <c r="C115" s="10" t="s">
        <v>1473</v>
      </c>
    </row>
    <row r="116" customFormat="false" ht="15" hidden="false" customHeight="false" outlineLevel="0" collapsed="false">
      <c r="A116" s="10" t="s">
        <v>2063</v>
      </c>
      <c r="B116" s="19" t="n">
        <v>682</v>
      </c>
      <c r="C116" s="10" t="s">
        <v>1520</v>
      </c>
    </row>
    <row r="117" customFormat="false" ht="15" hidden="false" customHeight="false" outlineLevel="0" collapsed="false">
      <c r="A117" s="10" t="s">
        <v>2064</v>
      </c>
      <c r="B117" s="19" t="n">
        <v>636</v>
      </c>
      <c r="C117" s="10" t="s">
        <v>1494</v>
      </c>
    </row>
    <row r="118" customFormat="false" ht="15" hidden="false" customHeight="false" outlineLevel="0" collapsed="false">
      <c r="A118" s="10" t="s">
        <v>2065</v>
      </c>
      <c r="B118" s="19" t="n">
        <v>631</v>
      </c>
      <c r="C118" s="10" t="s">
        <v>1494</v>
      </c>
    </row>
    <row r="119" customFormat="false" ht="15" hidden="false" customHeight="false" outlineLevel="0" collapsed="false">
      <c r="A119" s="10" t="s">
        <v>2066</v>
      </c>
      <c r="B119" s="19" t="n">
        <v>619</v>
      </c>
      <c r="C119" s="10" t="s">
        <v>1439</v>
      </c>
    </row>
    <row r="120" customFormat="false" ht="15" hidden="false" customHeight="false" outlineLevel="0" collapsed="false">
      <c r="A120" s="10" t="s">
        <v>2067</v>
      </c>
      <c r="B120" s="19" t="n">
        <v>614</v>
      </c>
      <c r="C120" s="10" t="s">
        <v>1676</v>
      </c>
    </row>
    <row r="121" customFormat="false" ht="15" hidden="false" customHeight="false" outlineLevel="0" collapsed="false">
      <c r="A121" s="10" t="s">
        <v>2068</v>
      </c>
      <c r="B121" s="19" t="n">
        <v>611</v>
      </c>
      <c r="C121" s="10" t="s">
        <v>1697</v>
      </c>
    </row>
    <row r="122" customFormat="false" ht="15" hidden="false" customHeight="false" outlineLevel="0" collapsed="false">
      <c r="A122" s="10" t="s">
        <v>2069</v>
      </c>
      <c r="B122" s="19" t="n">
        <v>593</v>
      </c>
      <c r="C122" s="10" t="s">
        <v>1515</v>
      </c>
    </row>
    <row r="123" customFormat="false" ht="15" hidden="false" customHeight="false" outlineLevel="0" collapsed="false">
      <c r="A123" s="10" t="s">
        <v>2070</v>
      </c>
      <c r="B123" s="19" t="n">
        <v>582</v>
      </c>
      <c r="C123" s="10" t="s">
        <v>1694</v>
      </c>
    </row>
    <row r="124" customFormat="false" ht="15" hidden="false" customHeight="false" outlineLevel="0" collapsed="false">
      <c r="A124" s="10" t="s">
        <v>2071</v>
      </c>
      <c r="B124" s="19" t="n">
        <v>557</v>
      </c>
      <c r="C124" s="10" t="s">
        <v>1473</v>
      </c>
    </row>
    <row r="125" customFormat="false" ht="15" hidden="false" customHeight="false" outlineLevel="0" collapsed="false">
      <c r="A125" s="10" t="s">
        <v>2072</v>
      </c>
      <c r="B125" s="19" t="n">
        <v>549</v>
      </c>
      <c r="C125" s="10" t="s">
        <v>1739</v>
      </c>
    </row>
    <row r="126" customFormat="false" ht="15" hidden="false" customHeight="false" outlineLevel="0" collapsed="false">
      <c r="A126" s="10" t="s">
        <v>2073</v>
      </c>
      <c r="B126" s="19" t="n">
        <v>546</v>
      </c>
      <c r="C126" s="10" t="s">
        <v>1473</v>
      </c>
    </row>
    <row r="127" customFormat="false" ht="15" hidden="false" customHeight="false" outlineLevel="0" collapsed="false">
      <c r="A127" s="10" t="s">
        <v>2074</v>
      </c>
      <c r="B127" s="19" t="n">
        <v>539</v>
      </c>
      <c r="C127" s="10" t="s">
        <v>1733</v>
      </c>
    </row>
    <row r="128" customFormat="false" ht="15" hidden="false" customHeight="false" outlineLevel="0" collapsed="false">
      <c r="A128" s="10" t="s">
        <v>2075</v>
      </c>
      <c r="B128" s="19" t="n">
        <v>538</v>
      </c>
      <c r="C128" s="10" t="s">
        <v>1713</v>
      </c>
    </row>
    <row r="129" customFormat="false" ht="15" hidden="false" customHeight="false" outlineLevel="0" collapsed="false">
      <c r="A129" s="10" t="s">
        <v>2076</v>
      </c>
      <c r="B129" s="19" t="n">
        <v>531</v>
      </c>
      <c r="C129" s="10" t="s">
        <v>1482</v>
      </c>
    </row>
    <row r="130" customFormat="false" ht="15" hidden="false" customHeight="false" outlineLevel="0" collapsed="false">
      <c r="A130" s="10" t="s">
        <v>2077</v>
      </c>
      <c r="B130" s="19" t="n">
        <v>526</v>
      </c>
      <c r="C130" s="10" t="s">
        <v>1464</v>
      </c>
    </row>
    <row r="131" customFormat="false" ht="15" hidden="false" customHeight="false" outlineLevel="0" collapsed="false">
      <c r="A131" s="10" t="s">
        <v>2078</v>
      </c>
      <c r="B131" s="19" t="n">
        <v>526</v>
      </c>
      <c r="C131" s="10" t="s">
        <v>1520</v>
      </c>
    </row>
    <row r="132" customFormat="false" ht="15" hidden="false" customHeight="false" outlineLevel="0" collapsed="false">
      <c r="A132" s="10" t="s">
        <v>1731</v>
      </c>
      <c r="B132" s="19" t="n">
        <v>524</v>
      </c>
      <c r="C132" s="10" t="s">
        <v>1731</v>
      </c>
    </row>
    <row r="133" customFormat="false" ht="15" hidden="false" customHeight="false" outlineLevel="0" collapsed="false">
      <c r="A133" s="10" t="s">
        <v>2079</v>
      </c>
      <c r="B133" s="19" t="n">
        <v>512</v>
      </c>
      <c r="C133" s="10" t="s">
        <v>1645</v>
      </c>
    </row>
    <row r="134" customFormat="false" ht="15" hidden="false" customHeight="false" outlineLevel="0" collapsed="false">
      <c r="A134" s="10" t="s">
        <v>2080</v>
      </c>
      <c r="B134" s="19" t="n">
        <v>511</v>
      </c>
      <c r="C134" s="10" t="s">
        <v>1685</v>
      </c>
    </row>
    <row r="135" customFormat="false" ht="15" hidden="false" customHeight="false" outlineLevel="0" collapsed="false">
      <c r="A135" s="10" t="s">
        <v>2081</v>
      </c>
      <c r="B135" s="19" t="n">
        <v>511</v>
      </c>
      <c r="C135" s="10" t="s">
        <v>1833</v>
      </c>
    </row>
    <row r="136" customFormat="false" ht="15" hidden="false" customHeight="false" outlineLevel="0" collapsed="false">
      <c r="A136" s="10" t="s">
        <v>2082</v>
      </c>
      <c r="B136" s="19" t="n">
        <v>504</v>
      </c>
      <c r="C136" s="10" t="s">
        <v>1629</v>
      </c>
    </row>
    <row r="137" customFormat="false" ht="15" hidden="false" customHeight="false" outlineLevel="0" collapsed="false">
      <c r="A137" s="10" t="s">
        <v>2083</v>
      </c>
      <c r="B137" s="19" t="n">
        <v>498</v>
      </c>
      <c r="C137" s="10" t="s">
        <v>1705</v>
      </c>
    </row>
    <row r="138" customFormat="false" ht="15" hidden="false" customHeight="false" outlineLevel="0" collapsed="false">
      <c r="A138" s="10" t="s">
        <v>2084</v>
      </c>
      <c r="B138" s="19" t="n">
        <v>492</v>
      </c>
      <c r="C138" s="10" t="s">
        <v>1676</v>
      </c>
    </row>
    <row r="139" customFormat="false" ht="15" hidden="false" customHeight="false" outlineLevel="0" collapsed="false">
      <c r="A139" s="10" t="s">
        <v>2085</v>
      </c>
      <c r="B139" s="19" t="n">
        <v>491</v>
      </c>
      <c r="C139" s="10" t="s">
        <v>1757</v>
      </c>
    </row>
    <row r="140" customFormat="false" ht="15" hidden="false" customHeight="false" outlineLevel="0" collapsed="false">
      <c r="A140" s="10" t="s">
        <v>2086</v>
      </c>
      <c r="B140" s="19" t="n">
        <v>489</v>
      </c>
      <c r="C140" s="10" t="s">
        <v>1791</v>
      </c>
    </row>
    <row r="141" customFormat="false" ht="15" hidden="false" customHeight="false" outlineLevel="0" collapsed="false">
      <c r="A141" s="10" t="s">
        <v>2087</v>
      </c>
      <c r="B141" s="19" t="n">
        <v>489</v>
      </c>
      <c r="C141" s="10" t="s">
        <v>1791</v>
      </c>
    </row>
    <row r="142" customFormat="false" ht="15" hidden="false" customHeight="false" outlineLevel="0" collapsed="false">
      <c r="A142" s="10" t="s">
        <v>2088</v>
      </c>
      <c r="B142" s="19" t="n">
        <v>488</v>
      </c>
      <c r="C142" s="10" t="s">
        <v>1781</v>
      </c>
    </row>
    <row r="143" customFormat="false" ht="15" hidden="false" customHeight="false" outlineLevel="0" collapsed="false">
      <c r="A143" s="10" t="s">
        <v>2089</v>
      </c>
      <c r="B143" s="19" t="n">
        <v>485</v>
      </c>
      <c r="C143" s="10" t="s">
        <v>1473</v>
      </c>
    </row>
    <row r="144" customFormat="false" ht="15" hidden="false" customHeight="false" outlineLevel="0" collapsed="false">
      <c r="A144" s="10" t="s">
        <v>2090</v>
      </c>
      <c r="B144" s="19" t="n">
        <v>484</v>
      </c>
      <c r="C144" s="10" t="s">
        <v>1515</v>
      </c>
    </row>
    <row r="145" customFormat="false" ht="15" hidden="false" customHeight="false" outlineLevel="0" collapsed="false">
      <c r="A145" s="10" t="s">
        <v>2091</v>
      </c>
      <c r="B145" s="19" t="n">
        <v>481</v>
      </c>
      <c r="C145" s="10" t="s">
        <v>1445</v>
      </c>
    </row>
    <row r="146" customFormat="false" ht="15" hidden="false" customHeight="false" outlineLevel="0" collapsed="false">
      <c r="A146" s="10" t="s">
        <v>2092</v>
      </c>
      <c r="B146" s="19" t="n">
        <v>477</v>
      </c>
      <c r="C146" s="10" t="s">
        <v>1515</v>
      </c>
    </row>
    <row r="147" customFormat="false" ht="15" hidden="false" customHeight="false" outlineLevel="0" collapsed="false">
      <c r="A147" s="10" t="s">
        <v>2093</v>
      </c>
      <c r="B147" s="19" t="n">
        <v>476</v>
      </c>
      <c r="C147" s="10" t="s">
        <v>1807</v>
      </c>
    </row>
    <row r="148" customFormat="false" ht="15" hidden="false" customHeight="false" outlineLevel="0" collapsed="false">
      <c r="A148" s="10" t="s">
        <v>2094</v>
      </c>
      <c r="B148" s="19" t="n">
        <v>476</v>
      </c>
      <c r="C148" s="10" t="s">
        <v>1833</v>
      </c>
    </row>
    <row r="149" customFormat="false" ht="15" hidden="false" customHeight="false" outlineLevel="0" collapsed="false">
      <c r="A149" s="10" t="s">
        <v>2095</v>
      </c>
      <c r="B149" s="19" t="n">
        <v>476</v>
      </c>
      <c r="C149" s="10" t="s">
        <v>1494</v>
      </c>
    </row>
    <row r="150" customFormat="false" ht="15" hidden="false" customHeight="false" outlineLevel="0" collapsed="false">
      <c r="A150" s="10" t="s">
        <v>2096</v>
      </c>
      <c r="B150" s="19" t="n">
        <v>469</v>
      </c>
      <c r="C150" s="10" t="s">
        <v>1569</v>
      </c>
    </row>
    <row r="151" customFormat="false" ht="15" hidden="false" customHeight="false" outlineLevel="0" collapsed="false">
      <c r="A151" s="10" t="s">
        <v>2097</v>
      </c>
      <c r="B151" s="19" t="n">
        <v>464</v>
      </c>
      <c r="C151" s="10" t="s">
        <v>1466</v>
      </c>
    </row>
    <row r="152" customFormat="false" ht="15" hidden="false" customHeight="false" outlineLevel="0" collapsed="false">
      <c r="A152" s="10" t="s">
        <v>2098</v>
      </c>
      <c r="B152" s="19" t="n">
        <v>463</v>
      </c>
      <c r="C152" s="10" t="s">
        <v>1729</v>
      </c>
    </row>
    <row r="153" customFormat="false" ht="15" hidden="false" customHeight="false" outlineLevel="0" collapsed="false">
      <c r="A153" s="10" t="s">
        <v>2099</v>
      </c>
      <c r="B153" s="19" t="n">
        <v>457</v>
      </c>
      <c r="C153" s="10" t="s">
        <v>1611</v>
      </c>
    </row>
    <row r="154" customFormat="false" ht="15" hidden="false" customHeight="false" outlineLevel="0" collapsed="false">
      <c r="A154" s="10" t="s">
        <v>2100</v>
      </c>
      <c r="B154" s="19" t="n">
        <v>452</v>
      </c>
      <c r="C154" s="10" t="s">
        <v>1757</v>
      </c>
    </row>
    <row r="155" customFormat="false" ht="15" hidden="false" customHeight="false" outlineLevel="0" collapsed="false">
      <c r="A155" s="10" t="s">
        <v>2101</v>
      </c>
      <c r="B155" s="19" t="n">
        <v>449</v>
      </c>
      <c r="C155" s="10" t="s">
        <v>1807</v>
      </c>
    </row>
    <row r="156" customFormat="false" ht="15" hidden="false" customHeight="false" outlineLevel="0" collapsed="false">
      <c r="A156" s="10" t="s">
        <v>2102</v>
      </c>
      <c r="B156" s="19" t="n">
        <v>446</v>
      </c>
      <c r="C156" s="10" t="s">
        <v>1743</v>
      </c>
    </row>
    <row r="157" customFormat="false" ht="15" hidden="false" customHeight="false" outlineLevel="0" collapsed="false">
      <c r="A157" s="10" t="s">
        <v>2103</v>
      </c>
      <c r="B157" s="19" t="n">
        <v>443</v>
      </c>
      <c r="C157" s="10" t="s">
        <v>1453</v>
      </c>
    </row>
    <row r="158" customFormat="false" ht="15" hidden="false" customHeight="false" outlineLevel="0" collapsed="false">
      <c r="A158" s="10" t="s">
        <v>2104</v>
      </c>
      <c r="B158" s="19" t="n">
        <v>434</v>
      </c>
      <c r="C158" s="10" t="s">
        <v>1536</v>
      </c>
    </row>
    <row r="159" customFormat="false" ht="15" hidden="false" customHeight="false" outlineLevel="0" collapsed="false">
      <c r="A159" s="10" t="s">
        <v>2105</v>
      </c>
      <c r="B159" s="19" t="n">
        <v>430</v>
      </c>
      <c r="C159" s="10" t="s">
        <v>1603</v>
      </c>
    </row>
    <row r="160" customFormat="false" ht="15" hidden="false" customHeight="false" outlineLevel="0" collapsed="false">
      <c r="A160" s="10" t="s">
        <v>2106</v>
      </c>
      <c r="B160" s="19" t="n">
        <v>427</v>
      </c>
      <c r="C160" s="10" t="s">
        <v>1743</v>
      </c>
    </row>
    <row r="161" customFormat="false" ht="15" hidden="false" customHeight="false" outlineLevel="0" collapsed="false">
      <c r="A161" s="10" t="s">
        <v>2107</v>
      </c>
      <c r="B161" s="19" t="n">
        <v>426</v>
      </c>
      <c r="C161" s="10" t="s">
        <v>1705</v>
      </c>
    </row>
    <row r="162" customFormat="false" ht="15" hidden="false" customHeight="false" outlineLevel="0" collapsed="false">
      <c r="A162" s="10" t="s">
        <v>2108</v>
      </c>
      <c r="B162" s="19" t="n">
        <v>425</v>
      </c>
      <c r="C162" s="10" t="s">
        <v>1725</v>
      </c>
    </row>
    <row r="163" customFormat="false" ht="15" hidden="false" customHeight="false" outlineLevel="0" collapsed="false">
      <c r="A163" s="10" t="s">
        <v>2109</v>
      </c>
      <c r="B163" s="19" t="n">
        <v>424</v>
      </c>
      <c r="C163" s="10" t="s">
        <v>1611</v>
      </c>
    </row>
    <row r="164" customFormat="false" ht="15" hidden="false" customHeight="false" outlineLevel="0" collapsed="false">
      <c r="A164" s="10" t="s">
        <v>2110</v>
      </c>
      <c r="B164" s="19" t="n">
        <v>420</v>
      </c>
      <c r="C164" s="10" t="s">
        <v>1587</v>
      </c>
    </row>
    <row r="165" customFormat="false" ht="15" hidden="false" customHeight="false" outlineLevel="0" collapsed="false">
      <c r="A165" s="10" t="s">
        <v>2111</v>
      </c>
      <c r="B165" s="19" t="n">
        <v>419</v>
      </c>
      <c r="C165" s="10" t="s">
        <v>1554</v>
      </c>
    </row>
    <row r="166" customFormat="false" ht="15" hidden="false" customHeight="false" outlineLevel="0" collapsed="false">
      <c r="A166" s="10" t="s">
        <v>2112</v>
      </c>
      <c r="B166" s="19" t="n">
        <v>415</v>
      </c>
      <c r="C166" s="10" t="s">
        <v>1725</v>
      </c>
    </row>
    <row r="167" customFormat="false" ht="15" hidden="false" customHeight="false" outlineLevel="0" collapsed="false">
      <c r="A167" s="10" t="s">
        <v>2113</v>
      </c>
      <c r="B167" s="19" t="n">
        <v>404</v>
      </c>
      <c r="C167" s="10" t="s">
        <v>1603</v>
      </c>
    </row>
    <row r="168" customFormat="false" ht="15" hidden="false" customHeight="false" outlineLevel="0" collapsed="false">
      <c r="A168" s="10" t="s">
        <v>2114</v>
      </c>
      <c r="B168" s="19" t="n">
        <v>403</v>
      </c>
      <c r="C168" s="10" t="s">
        <v>1787</v>
      </c>
    </row>
    <row r="169" customFormat="false" ht="15" hidden="false" customHeight="false" outlineLevel="0" collapsed="false">
      <c r="A169" s="10" t="s">
        <v>2115</v>
      </c>
      <c r="B169" s="19" t="n">
        <v>399</v>
      </c>
      <c r="C169" s="10" t="s">
        <v>1729</v>
      </c>
    </row>
    <row r="170" customFormat="false" ht="15" hidden="false" customHeight="false" outlineLevel="0" collapsed="false">
      <c r="A170" s="10" t="s">
        <v>2116</v>
      </c>
      <c r="B170" s="19" t="n">
        <v>396</v>
      </c>
      <c r="C170" s="10" t="s">
        <v>1645</v>
      </c>
    </row>
    <row r="171" customFormat="false" ht="15" hidden="false" customHeight="false" outlineLevel="0" collapsed="false">
      <c r="A171" s="10" t="s">
        <v>2117</v>
      </c>
      <c r="B171" s="19" t="n">
        <v>393</v>
      </c>
      <c r="C171" s="10" t="s">
        <v>1629</v>
      </c>
    </row>
    <row r="172" customFormat="false" ht="15" hidden="false" customHeight="false" outlineLevel="0" collapsed="false">
      <c r="A172" s="10" t="s">
        <v>2118</v>
      </c>
      <c r="B172" s="19" t="n">
        <v>392</v>
      </c>
      <c r="C172" s="10" t="s">
        <v>1439</v>
      </c>
    </row>
    <row r="173" customFormat="false" ht="15" hidden="false" customHeight="false" outlineLevel="0" collapsed="false">
      <c r="A173" s="10" t="s">
        <v>2119</v>
      </c>
      <c r="B173" s="19" t="n">
        <v>392</v>
      </c>
      <c r="C173" s="10" t="s">
        <v>1520</v>
      </c>
    </row>
    <row r="174" customFormat="false" ht="15" hidden="false" customHeight="false" outlineLevel="0" collapsed="false">
      <c r="A174" s="10" t="s">
        <v>2120</v>
      </c>
      <c r="B174" s="19" t="n">
        <v>390</v>
      </c>
      <c r="C174" s="10" t="s">
        <v>1676</v>
      </c>
    </row>
    <row r="175" customFormat="false" ht="15" hidden="false" customHeight="false" outlineLevel="0" collapsed="false">
      <c r="A175" s="10" t="s">
        <v>2121</v>
      </c>
      <c r="B175" s="19" t="n">
        <v>389</v>
      </c>
      <c r="C175" s="10" t="s">
        <v>1711</v>
      </c>
    </row>
    <row r="176" customFormat="false" ht="15" hidden="false" customHeight="false" outlineLevel="0" collapsed="false">
      <c r="A176" s="10" t="s">
        <v>2122</v>
      </c>
      <c r="B176" s="19" t="n">
        <v>387</v>
      </c>
      <c r="C176" s="10" t="s">
        <v>1765</v>
      </c>
    </row>
    <row r="177" customFormat="false" ht="15" hidden="false" customHeight="false" outlineLevel="0" collapsed="false">
      <c r="A177" s="10" t="s">
        <v>2123</v>
      </c>
      <c r="B177" s="19" t="n">
        <v>385</v>
      </c>
      <c r="C177" s="10" t="s">
        <v>1603</v>
      </c>
    </row>
    <row r="178" customFormat="false" ht="15" hidden="false" customHeight="false" outlineLevel="0" collapsed="false">
      <c r="A178" s="10" t="s">
        <v>2124</v>
      </c>
      <c r="B178" s="19" t="n">
        <v>381</v>
      </c>
      <c r="C178" s="10" t="s">
        <v>1715</v>
      </c>
    </row>
    <row r="179" customFormat="false" ht="15" hidden="false" customHeight="false" outlineLevel="0" collapsed="false">
      <c r="A179" s="10" t="s">
        <v>2125</v>
      </c>
      <c r="B179" s="19" t="n">
        <v>380</v>
      </c>
      <c r="C179" s="10" t="s">
        <v>1611</v>
      </c>
    </row>
    <row r="180" customFormat="false" ht="15" hidden="false" customHeight="false" outlineLevel="0" collapsed="false">
      <c r="A180" s="10" t="s">
        <v>2126</v>
      </c>
      <c r="B180" s="19" t="n">
        <v>378</v>
      </c>
      <c r="C180" s="10" t="s">
        <v>1765</v>
      </c>
    </row>
    <row r="181" customFormat="false" ht="15" hidden="false" customHeight="false" outlineLevel="0" collapsed="false">
      <c r="A181" s="10" t="s">
        <v>2127</v>
      </c>
      <c r="B181" s="19" t="n">
        <v>375</v>
      </c>
      <c r="C181" s="10" t="s">
        <v>1845</v>
      </c>
    </row>
    <row r="182" customFormat="false" ht="15" hidden="false" customHeight="false" outlineLevel="0" collapsed="false">
      <c r="A182" s="10" t="s">
        <v>2128</v>
      </c>
      <c r="B182" s="19" t="n">
        <v>372</v>
      </c>
      <c r="C182" s="10" t="s">
        <v>1811</v>
      </c>
    </row>
    <row r="183" customFormat="false" ht="15" hidden="false" customHeight="false" outlineLevel="0" collapsed="false">
      <c r="A183" s="10" t="s">
        <v>2129</v>
      </c>
      <c r="B183" s="19" t="n">
        <v>371</v>
      </c>
      <c r="C183" s="10" t="s">
        <v>1504</v>
      </c>
    </row>
    <row r="184" customFormat="false" ht="15" hidden="false" customHeight="false" outlineLevel="0" collapsed="false">
      <c r="A184" s="10" t="s">
        <v>2130</v>
      </c>
      <c r="B184" s="19" t="n">
        <v>366</v>
      </c>
      <c r="C184" s="10" t="s">
        <v>1520</v>
      </c>
    </row>
    <row r="185" customFormat="false" ht="15" hidden="false" customHeight="false" outlineLevel="0" collapsed="false">
      <c r="A185" s="10" t="s">
        <v>2131</v>
      </c>
      <c r="B185" s="19" t="n">
        <v>356</v>
      </c>
      <c r="C185" s="10" t="s">
        <v>1538</v>
      </c>
    </row>
    <row r="186" customFormat="false" ht="15" hidden="false" customHeight="false" outlineLevel="0" collapsed="false">
      <c r="A186" s="10" t="s">
        <v>2132</v>
      </c>
      <c r="B186" s="19" t="n">
        <v>353</v>
      </c>
      <c r="C186" s="10" t="s">
        <v>1449</v>
      </c>
    </row>
    <row r="187" customFormat="false" ht="15" hidden="false" customHeight="false" outlineLevel="0" collapsed="false">
      <c r="A187" s="10" t="s">
        <v>2133</v>
      </c>
      <c r="B187" s="19" t="n">
        <v>350</v>
      </c>
      <c r="C187" s="10" t="s">
        <v>1530</v>
      </c>
    </row>
    <row r="188" customFormat="false" ht="15" hidden="false" customHeight="false" outlineLevel="0" collapsed="false">
      <c r="A188" s="10" t="s">
        <v>2134</v>
      </c>
      <c r="B188" s="19" t="n">
        <v>348</v>
      </c>
      <c r="C188" s="10" t="s">
        <v>1705</v>
      </c>
    </row>
    <row r="189" customFormat="false" ht="15" hidden="false" customHeight="false" outlineLevel="0" collapsed="false">
      <c r="A189" s="10" t="s">
        <v>2135</v>
      </c>
      <c r="B189" s="19" t="n">
        <v>347</v>
      </c>
      <c r="C189" s="10" t="s">
        <v>1765</v>
      </c>
    </row>
    <row r="190" customFormat="false" ht="15" hidden="false" customHeight="false" outlineLevel="0" collapsed="false">
      <c r="A190" s="10" t="s">
        <v>2136</v>
      </c>
      <c r="B190" s="19" t="n">
        <v>342</v>
      </c>
      <c r="C190" s="10" t="s">
        <v>1629</v>
      </c>
    </row>
    <row r="191" customFormat="false" ht="15" hidden="false" customHeight="false" outlineLevel="0" collapsed="false">
      <c r="A191" s="10" t="s">
        <v>2137</v>
      </c>
      <c r="B191" s="19" t="n">
        <v>341</v>
      </c>
      <c r="C191" s="10" t="s">
        <v>1819</v>
      </c>
    </row>
    <row r="192" customFormat="false" ht="15" hidden="false" customHeight="false" outlineLevel="0" collapsed="false">
      <c r="A192" s="10" t="s">
        <v>2138</v>
      </c>
      <c r="B192" s="19" t="n">
        <v>340</v>
      </c>
      <c r="C192" s="10" t="s">
        <v>1473</v>
      </c>
    </row>
    <row r="193" customFormat="false" ht="15" hidden="false" customHeight="false" outlineLevel="0" collapsed="false">
      <c r="A193" s="10" t="s">
        <v>2139</v>
      </c>
      <c r="B193" s="19" t="n">
        <v>338</v>
      </c>
      <c r="C193" s="10" t="s">
        <v>1443</v>
      </c>
    </row>
    <row r="194" customFormat="false" ht="15" hidden="false" customHeight="false" outlineLevel="0" collapsed="false">
      <c r="A194" s="10" t="s">
        <v>2140</v>
      </c>
      <c r="B194" s="19" t="n">
        <v>336</v>
      </c>
      <c r="C194" s="10" t="s">
        <v>1494</v>
      </c>
    </row>
    <row r="195" customFormat="false" ht="15" hidden="false" customHeight="false" outlineLevel="0" collapsed="false">
      <c r="A195" s="10" t="s">
        <v>2141</v>
      </c>
      <c r="B195" s="19" t="n">
        <v>335</v>
      </c>
      <c r="C195" s="10" t="s">
        <v>1811</v>
      </c>
    </row>
    <row r="196" customFormat="false" ht="15" hidden="false" customHeight="false" outlineLevel="0" collapsed="false">
      <c r="A196" s="10" t="s">
        <v>2142</v>
      </c>
      <c r="B196" s="19" t="n">
        <v>329</v>
      </c>
      <c r="C196" s="10" t="s">
        <v>1673</v>
      </c>
    </row>
    <row r="197" customFormat="false" ht="15" hidden="false" customHeight="false" outlineLevel="0" collapsed="false">
      <c r="A197" s="10" t="s">
        <v>2143</v>
      </c>
      <c r="B197" s="19" t="n">
        <v>328</v>
      </c>
      <c r="C197" s="10" t="s">
        <v>1676</v>
      </c>
    </row>
    <row r="198" customFormat="false" ht="15" hidden="false" customHeight="false" outlineLevel="0" collapsed="false">
      <c r="A198" s="10" t="s">
        <v>2144</v>
      </c>
      <c r="B198" s="19" t="n">
        <v>327</v>
      </c>
      <c r="C198" s="10" t="s">
        <v>1540</v>
      </c>
    </row>
    <row r="199" customFormat="false" ht="15" hidden="false" customHeight="false" outlineLevel="0" collapsed="false">
      <c r="A199" s="10" t="s">
        <v>2145</v>
      </c>
      <c r="B199" s="19" t="n">
        <v>325</v>
      </c>
      <c r="C199" s="10" t="s">
        <v>1445</v>
      </c>
    </row>
    <row r="200" customFormat="false" ht="15" hidden="false" customHeight="false" outlineLevel="0" collapsed="false">
      <c r="A200" s="10" t="s">
        <v>2146</v>
      </c>
      <c r="B200" s="19" t="n">
        <v>320</v>
      </c>
      <c r="C200" s="10" t="s">
        <v>1717</v>
      </c>
    </row>
    <row r="201" customFormat="false" ht="15" hidden="false" customHeight="false" outlineLevel="0" collapsed="false">
      <c r="A201" s="10" t="s">
        <v>2147</v>
      </c>
      <c r="B201" s="19" t="n">
        <v>318</v>
      </c>
      <c r="C201" s="10" t="s">
        <v>1480</v>
      </c>
    </row>
    <row r="202" customFormat="false" ht="15" hidden="false" customHeight="false" outlineLevel="0" collapsed="false">
      <c r="A202" s="10" t="s">
        <v>2148</v>
      </c>
      <c r="B202" s="19" t="n">
        <v>316</v>
      </c>
      <c r="C202" s="10" t="s">
        <v>1715</v>
      </c>
    </row>
    <row r="203" customFormat="false" ht="15" hidden="false" customHeight="false" outlineLevel="0" collapsed="false">
      <c r="A203" s="10" t="s">
        <v>2149</v>
      </c>
      <c r="B203" s="19" t="n">
        <v>316</v>
      </c>
      <c r="C203" s="10" t="s">
        <v>1715</v>
      </c>
    </row>
    <row r="204" customFormat="false" ht="15" hidden="false" customHeight="false" outlineLevel="0" collapsed="false">
      <c r="A204" s="10" t="s">
        <v>2150</v>
      </c>
      <c r="B204" s="19" t="n">
        <v>316</v>
      </c>
      <c r="C204" s="10" t="s">
        <v>1536</v>
      </c>
    </row>
    <row r="205" customFormat="false" ht="15" hidden="false" customHeight="false" outlineLevel="0" collapsed="false">
      <c r="A205" s="10" t="s">
        <v>2151</v>
      </c>
      <c r="B205" s="19" t="n">
        <v>314</v>
      </c>
      <c r="C205" s="10" t="s">
        <v>1676</v>
      </c>
    </row>
    <row r="206" customFormat="false" ht="15" hidden="false" customHeight="false" outlineLevel="0" collapsed="false">
      <c r="A206" s="10" t="s">
        <v>2152</v>
      </c>
      <c r="B206" s="19" t="n">
        <v>311</v>
      </c>
      <c r="C206" s="10" t="s">
        <v>1515</v>
      </c>
    </row>
    <row r="207" customFormat="false" ht="15" hidden="false" customHeight="false" outlineLevel="0" collapsed="false">
      <c r="A207" s="10" t="s">
        <v>2153</v>
      </c>
      <c r="B207" s="19" t="n">
        <v>308</v>
      </c>
      <c r="C207" s="10" t="s">
        <v>1439</v>
      </c>
    </row>
    <row r="208" customFormat="false" ht="15" hidden="false" customHeight="false" outlineLevel="0" collapsed="false">
      <c r="A208" s="10" t="s">
        <v>2154</v>
      </c>
      <c r="B208" s="19" t="n">
        <v>304</v>
      </c>
      <c r="C208" s="10" t="s">
        <v>1530</v>
      </c>
    </row>
    <row r="209" customFormat="false" ht="15" hidden="false" customHeight="false" outlineLevel="0" collapsed="false">
      <c r="A209" s="10" t="s">
        <v>2155</v>
      </c>
      <c r="B209" s="19" t="n">
        <v>304</v>
      </c>
      <c r="C209" s="10" t="s">
        <v>1538</v>
      </c>
    </row>
    <row r="210" customFormat="false" ht="15" hidden="false" customHeight="false" outlineLevel="0" collapsed="false">
      <c r="A210" s="10" t="s">
        <v>2156</v>
      </c>
      <c r="B210" s="19" t="n">
        <v>303</v>
      </c>
      <c r="C210" s="10" t="s">
        <v>1520</v>
      </c>
    </row>
    <row r="211" customFormat="false" ht="15" hidden="false" customHeight="false" outlineLevel="0" collapsed="false">
      <c r="A211" s="10" t="s">
        <v>2157</v>
      </c>
      <c r="B211" s="19" t="n">
        <v>300</v>
      </c>
      <c r="C211" s="10" t="s">
        <v>1515</v>
      </c>
    </row>
    <row r="212" customFormat="false" ht="15" hidden="false" customHeight="false" outlineLevel="0" collapsed="false">
      <c r="A212" s="10" t="s">
        <v>2158</v>
      </c>
      <c r="B212" s="19" t="n">
        <v>298</v>
      </c>
      <c r="C212" s="10" t="s">
        <v>1439</v>
      </c>
    </row>
    <row r="213" customFormat="false" ht="15" hidden="false" customHeight="false" outlineLevel="0" collapsed="false">
      <c r="A213" s="10" t="s">
        <v>2159</v>
      </c>
      <c r="B213" s="19" t="n">
        <v>298</v>
      </c>
      <c r="C213" s="10" t="s">
        <v>1561</v>
      </c>
    </row>
    <row r="214" customFormat="false" ht="15" hidden="false" customHeight="false" outlineLevel="0" collapsed="false">
      <c r="A214" s="10" t="s">
        <v>2160</v>
      </c>
      <c r="B214" s="19" t="n">
        <v>298</v>
      </c>
      <c r="C214" s="10" t="s">
        <v>1705</v>
      </c>
    </row>
    <row r="215" customFormat="false" ht="15" hidden="false" customHeight="false" outlineLevel="0" collapsed="false">
      <c r="A215" s="10" t="s">
        <v>2161</v>
      </c>
      <c r="B215" s="19" t="n">
        <v>297</v>
      </c>
      <c r="C215" s="10" t="s">
        <v>1617</v>
      </c>
    </row>
    <row r="216" customFormat="false" ht="15" hidden="false" customHeight="false" outlineLevel="0" collapsed="false">
      <c r="A216" s="10" t="s">
        <v>2162</v>
      </c>
      <c r="B216" s="19" t="n">
        <v>297</v>
      </c>
      <c r="C216" s="10" t="s">
        <v>1765</v>
      </c>
    </row>
    <row r="217" customFormat="false" ht="15" hidden="false" customHeight="false" outlineLevel="0" collapsed="false">
      <c r="A217" s="10" t="s">
        <v>2163</v>
      </c>
      <c r="B217" s="19" t="n">
        <v>297</v>
      </c>
      <c r="C217" s="10" t="s">
        <v>1697</v>
      </c>
    </row>
    <row r="218" customFormat="false" ht="15" hidden="false" customHeight="false" outlineLevel="0" collapsed="false">
      <c r="A218" s="10" t="s">
        <v>2164</v>
      </c>
      <c r="B218" s="19" t="n">
        <v>295</v>
      </c>
      <c r="C218" s="10" t="s">
        <v>1713</v>
      </c>
    </row>
    <row r="219" customFormat="false" ht="15" hidden="false" customHeight="false" outlineLevel="0" collapsed="false">
      <c r="A219" s="10" t="s">
        <v>2165</v>
      </c>
      <c r="B219" s="19" t="n">
        <v>293</v>
      </c>
      <c r="C219" s="10" t="s">
        <v>1473</v>
      </c>
    </row>
    <row r="220" customFormat="false" ht="15" hidden="false" customHeight="false" outlineLevel="0" collapsed="false">
      <c r="A220" s="10" t="s">
        <v>2166</v>
      </c>
      <c r="B220" s="19" t="n">
        <v>292</v>
      </c>
      <c r="C220" s="10" t="s">
        <v>1482</v>
      </c>
    </row>
    <row r="221" customFormat="false" ht="15" hidden="false" customHeight="false" outlineLevel="0" collapsed="false">
      <c r="A221" s="10" t="s">
        <v>2167</v>
      </c>
      <c r="B221" s="19" t="n">
        <v>291</v>
      </c>
      <c r="C221" s="10" t="s">
        <v>1611</v>
      </c>
    </row>
    <row r="222" customFormat="false" ht="15" hidden="false" customHeight="false" outlineLevel="0" collapsed="false">
      <c r="A222" s="10" t="s">
        <v>2168</v>
      </c>
      <c r="B222" s="19" t="n">
        <v>291</v>
      </c>
      <c r="C222" s="10" t="s">
        <v>1694</v>
      </c>
    </row>
    <row r="223" customFormat="false" ht="15" hidden="false" customHeight="false" outlineLevel="0" collapsed="false">
      <c r="A223" s="10" t="s">
        <v>2169</v>
      </c>
      <c r="B223" s="19" t="n">
        <v>291</v>
      </c>
      <c r="C223" s="10" t="s">
        <v>1607</v>
      </c>
    </row>
    <row r="224" customFormat="false" ht="15" hidden="false" customHeight="false" outlineLevel="0" collapsed="false">
      <c r="A224" s="10" t="s">
        <v>2170</v>
      </c>
      <c r="B224" s="19" t="n">
        <v>289</v>
      </c>
      <c r="C224" s="10" t="s">
        <v>1819</v>
      </c>
    </row>
    <row r="225" customFormat="false" ht="15" hidden="false" customHeight="false" outlineLevel="0" collapsed="false">
      <c r="A225" s="10" t="s">
        <v>2171</v>
      </c>
      <c r="B225" s="19" t="n">
        <v>289</v>
      </c>
      <c r="C225" s="10" t="s">
        <v>1757</v>
      </c>
    </row>
    <row r="226" customFormat="false" ht="15" hidden="false" customHeight="false" outlineLevel="0" collapsed="false">
      <c r="A226" s="10" t="s">
        <v>2172</v>
      </c>
      <c r="B226" s="19" t="n">
        <v>285</v>
      </c>
      <c r="C226" s="10" t="s">
        <v>1443</v>
      </c>
    </row>
    <row r="227" customFormat="false" ht="15" hidden="false" customHeight="false" outlineLevel="0" collapsed="false">
      <c r="A227" s="10" t="s">
        <v>2173</v>
      </c>
      <c r="B227" s="19" t="n">
        <v>284</v>
      </c>
      <c r="C227" s="10" t="s">
        <v>1811</v>
      </c>
    </row>
    <row r="228" customFormat="false" ht="15" hidden="false" customHeight="false" outlineLevel="0" collapsed="false">
      <c r="A228" s="10" t="s">
        <v>2174</v>
      </c>
      <c r="B228" s="19" t="n">
        <v>281</v>
      </c>
      <c r="C228" s="10" t="s">
        <v>1473</v>
      </c>
    </row>
    <row r="229" customFormat="false" ht="15" hidden="false" customHeight="false" outlineLevel="0" collapsed="false">
      <c r="A229" s="10" t="s">
        <v>2175</v>
      </c>
      <c r="B229" s="19" t="n">
        <v>279</v>
      </c>
      <c r="C229" s="10" t="s">
        <v>1749</v>
      </c>
    </row>
    <row r="230" customFormat="false" ht="15" hidden="false" customHeight="false" outlineLevel="0" collapsed="false">
      <c r="A230" s="10" t="s">
        <v>2176</v>
      </c>
      <c r="B230" s="19" t="n">
        <v>273</v>
      </c>
      <c r="C230" s="10" t="s">
        <v>1809</v>
      </c>
    </row>
    <row r="231" customFormat="false" ht="15" hidden="false" customHeight="false" outlineLevel="0" collapsed="false">
      <c r="A231" s="10" t="s">
        <v>2177</v>
      </c>
      <c r="B231" s="19" t="n">
        <v>273</v>
      </c>
      <c r="C231" s="10" t="s">
        <v>1213</v>
      </c>
    </row>
    <row r="232" customFormat="false" ht="15" hidden="false" customHeight="false" outlineLevel="0" collapsed="false">
      <c r="A232" s="10" t="s">
        <v>2178</v>
      </c>
      <c r="B232" s="19" t="n">
        <v>271</v>
      </c>
      <c r="C232" s="10" t="s">
        <v>1443</v>
      </c>
    </row>
    <row r="233" customFormat="false" ht="15" hidden="false" customHeight="false" outlineLevel="0" collapsed="false">
      <c r="A233" s="10" t="s">
        <v>2179</v>
      </c>
      <c r="B233" s="19" t="n">
        <v>270</v>
      </c>
      <c r="C233" s="10" t="s">
        <v>1500</v>
      </c>
    </row>
    <row r="234" customFormat="false" ht="15" hidden="false" customHeight="false" outlineLevel="0" collapsed="false">
      <c r="A234" s="10" t="s">
        <v>2180</v>
      </c>
      <c r="B234" s="19" t="n">
        <v>270</v>
      </c>
      <c r="C234" s="10" t="s">
        <v>1676</v>
      </c>
    </row>
    <row r="235" customFormat="false" ht="15" hidden="false" customHeight="false" outlineLevel="0" collapsed="false">
      <c r="A235" s="10" t="s">
        <v>2181</v>
      </c>
      <c r="B235" s="19" t="n">
        <v>268</v>
      </c>
      <c r="C235" s="10" t="s">
        <v>1811</v>
      </c>
    </row>
    <row r="236" customFormat="false" ht="15" hidden="false" customHeight="false" outlineLevel="0" collapsed="false">
      <c r="A236" s="10" t="s">
        <v>2182</v>
      </c>
      <c r="B236" s="19" t="n">
        <v>266</v>
      </c>
      <c r="C236" s="10" t="s">
        <v>1542</v>
      </c>
    </row>
    <row r="237" customFormat="false" ht="15" hidden="false" customHeight="false" outlineLevel="0" collapsed="false">
      <c r="A237" s="10" t="s">
        <v>2183</v>
      </c>
      <c r="B237" s="19" t="n">
        <v>263</v>
      </c>
      <c r="C237" s="10" t="s">
        <v>1443</v>
      </c>
    </row>
    <row r="238" customFormat="false" ht="15" hidden="false" customHeight="false" outlineLevel="0" collapsed="false">
      <c r="A238" s="10" t="s">
        <v>2184</v>
      </c>
      <c r="B238" s="19" t="n">
        <v>262</v>
      </c>
      <c r="C238" s="10" t="s">
        <v>1603</v>
      </c>
    </row>
    <row r="239" customFormat="false" ht="15" hidden="false" customHeight="false" outlineLevel="0" collapsed="false">
      <c r="A239" s="10" t="s">
        <v>2185</v>
      </c>
      <c r="B239" s="19" t="n">
        <v>260</v>
      </c>
      <c r="C239" s="10" t="s">
        <v>1449</v>
      </c>
    </row>
    <row r="240" customFormat="false" ht="15" hidden="false" customHeight="false" outlineLevel="0" collapsed="false">
      <c r="A240" s="10" t="s">
        <v>2186</v>
      </c>
      <c r="B240" s="19" t="n">
        <v>260</v>
      </c>
      <c r="C240" s="10" t="s">
        <v>1713</v>
      </c>
    </row>
    <row r="241" customFormat="false" ht="15" hidden="false" customHeight="false" outlineLevel="0" collapsed="false">
      <c r="A241" s="10" t="s">
        <v>2187</v>
      </c>
      <c r="B241" s="19" t="n">
        <v>260</v>
      </c>
      <c r="C241" s="10" t="s">
        <v>1482</v>
      </c>
    </row>
    <row r="242" customFormat="false" ht="15" hidden="false" customHeight="false" outlineLevel="0" collapsed="false">
      <c r="A242" s="10" t="s">
        <v>2188</v>
      </c>
      <c r="B242" s="19" t="n">
        <v>259</v>
      </c>
      <c r="C242" s="10" t="s">
        <v>1609</v>
      </c>
    </row>
    <row r="243" customFormat="false" ht="15" hidden="false" customHeight="false" outlineLevel="0" collapsed="false">
      <c r="A243" s="10" t="s">
        <v>2189</v>
      </c>
      <c r="B243" s="19" t="n">
        <v>257</v>
      </c>
      <c r="C243" s="10" t="s">
        <v>1488</v>
      </c>
    </row>
    <row r="244" customFormat="false" ht="15" hidden="false" customHeight="false" outlineLevel="0" collapsed="false">
      <c r="A244" s="10" t="s">
        <v>2190</v>
      </c>
      <c r="B244" s="19" t="n">
        <v>256</v>
      </c>
      <c r="C244" s="10" t="s">
        <v>1847</v>
      </c>
    </row>
    <row r="245" customFormat="false" ht="15" hidden="false" customHeight="false" outlineLevel="0" collapsed="false">
      <c r="A245" s="10" t="s">
        <v>2191</v>
      </c>
      <c r="B245" s="19" t="n">
        <v>256</v>
      </c>
      <c r="C245" s="10" t="s">
        <v>1765</v>
      </c>
    </row>
    <row r="246" customFormat="false" ht="15" hidden="false" customHeight="false" outlineLevel="0" collapsed="false">
      <c r="A246" s="10" t="s">
        <v>2192</v>
      </c>
      <c r="B246" s="19" t="n">
        <v>254</v>
      </c>
      <c r="C246" s="10" t="s">
        <v>1765</v>
      </c>
    </row>
    <row r="247" customFormat="false" ht="15" hidden="false" customHeight="false" outlineLevel="0" collapsed="false">
      <c r="A247" s="10" t="s">
        <v>2193</v>
      </c>
      <c r="B247" s="19" t="n">
        <v>251</v>
      </c>
      <c r="C247" s="10" t="s">
        <v>1779</v>
      </c>
    </row>
    <row r="248" customFormat="false" ht="15" hidden="false" customHeight="false" outlineLevel="0" collapsed="false">
      <c r="A248" s="10" t="s">
        <v>2194</v>
      </c>
      <c r="B248" s="19" t="n">
        <v>247</v>
      </c>
      <c r="C248" s="10" t="s">
        <v>1683</v>
      </c>
    </row>
    <row r="249" customFormat="false" ht="15" hidden="false" customHeight="false" outlineLevel="0" collapsed="false">
      <c r="A249" s="10" t="s">
        <v>2195</v>
      </c>
      <c r="B249" s="19" t="n">
        <v>244</v>
      </c>
      <c r="C249" s="10" t="s">
        <v>1845</v>
      </c>
    </row>
    <row r="250" customFormat="false" ht="15" hidden="false" customHeight="false" outlineLevel="0" collapsed="false">
      <c r="A250" s="10" t="s">
        <v>2196</v>
      </c>
      <c r="B250" s="19" t="n">
        <v>243</v>
      </c>
      <c r="C250" s="10" t="s">
        <v>1213</v>
      </c>
    </row>
    <row r="251" customFormat="false" ht="15" hidden="false" customHeight="false" outlineLevel="0" collapsed="false">
      <c r="A251" s="10" t="s">
        <v>2197</v>
      </c>
      <c r="B251" s="19" t="n">
        <v>243</v>
      </c>
      <c r="C251" s="10" t="s">
        <v>1609</v>
      </c>
    </row>
    <row r="252" customFormat="false" ht="15" hidden="false" customHeight="false" outlineLevel="0" collapsed="false">
      <c r="A252" s="10" t="s">
        <v>2198</v>
      </c>
      <c r="B252" s="19" t="n">
        <v>243</v>
      </c>
      <c r="C252" s="10" t="s">
        <v>1743</v>
      </c>
    </row>
    <row r="253" customFormat="false" ht="15" hidden="false" customHeight="false" outlineLevel="0" collapsed="false">
      <c r="A253" s="10" t="s">
        <v>2199</v>
      </c>
      <c r="B253" s="19" t="n">
        <v>240</v>
      </c>
      <c r="C253" s="10" t="s">
        <v>1687</v>
      </c>
    </row>
    <row r="254" customFormat="false" ht="15" hidden="false" customHeight="false" outlineLevel="0" collapsed="false">
      <c r="A254" s="10" t="s">
        <v>2200</v>
      </c>
      <c r="B254" s="19" t="n">
        <v>237</v>
      </c>
      <c r="C254" s="10" t="s">
        <v>1711</v>
      </c>
    </row>
    <row r="255" customFormat="false" ht="15" hidden="false" customHeight="false" outlineLevel="0" collapsed="false">
      <c r="A255" s="10" t="s">
        <v>2201</v>
      </c>
      <c r="B255" s="19" t="n">
        <v>237</v>
      </c>
      <c r="C255" s="10" t="s">
        <v>1809</v>
      </c>
    </row>
    <row r="256" customFormat="false" ht="15" hidden="false" customHeight="false" outlineLevel="0" collapsed="false">
      <c r="A256" s="10" t="s">
        <v>2202</v>
      </c>
      <c r="B256" s="19" t="n">
        <v>237</v>
      </c>
      <c r="C256" s="10" t="s">
        <v>1643</v>
      </c>
    </row>
    <row r="257" customFormat="false" ht="15" hidden="false" customHeight="false" outlineLevel="0" collapsed="false">
      <c r="A257" s="10" t="s">
        <v>2203</v>
      </c>
      <c r="B257" s="19" t="n">
        <v>236</v>
      </c>
      <c r="C257" s="10" t="s">
        <v>1468</v>
      </c>
    </row>
    <row r="258" customFormat="false" ht="15" hidden="false" customHeight="false" outlineLevel="0" collapsed="false">
      <c r="A258" s="10" t="s">
        <v>2204</v>
      </c>
      <c r="B258" s="19" t="n">
        <v>235</v>
      </c>
      <c r="C258" s="10" t="s">
        <v>1777</v>
      </c>
    </row>
    <row r="259" customFormat="false" ht="15" hidden="false" customHeight="false" outlineLevel="0" collapsed="false">
      <c r="A259" s="10" t="s">
        <v>2205</v>
      </c>
      <c r="B259" s="19" t="n">
        <v>233</v>
      </c>
      <c r="C259" s="10" t="s">
        <v>1789</v>
      </c>
    </row>
    <row r="260" customFormat="false" ht="15" hidden="false" customHeight="false" outlineLevel="0" collapsed="false">
      <c r="A260" s="10" t="s">
        <v>2206</v>
      </c>
      <c r="B260" s="19" t="n">
        <v>232</v>
      </c>
      <c r="C260" s="10" t="s">
        <v>1676</v>
      </c>
    </row>
    <row r="261" customFormat="false" ht="15" hidden="false" customHeight="false" outlineLevel="0" collapsed="false">
      <c r="A261" s="10" t="s">
        <v>2207</v>
      </c>
      <c r="B261" s="19" t="n">
        <v>232</v>
      </c>
      <c r="C261" s="10" t="s">
        <v>1611</v>
      </c>
    </row>
    <row r="262" customFormat="false" ht="15" hidden="false" customHeight="false" outlineLevel="0" collapsed="false">
      <c r="A262" s="10" t="s">
        <v>2208</v>
      </c>
      <c r="B262" s="19" t="n">
        <v>232</v>
      </c>
      <c r="C262" s="10" t="s">
        <v>1631</v>
      </c>
    </row>
    <row r="263" customFormat="false" ht="15" hidden="false" customHeight="false" outlineLevel="0" collapsed="false">
      <c r="A263" s="10" t="s">
        <v>2209</v>
      </c>
      <c r="B263" s="19" t="n">
        <v>231</v>
      </c>
      <c r="C263" s="10" t="s">
        <v>1520</v>
      </c>
    </row>
    <row r="264" customFormat="false" ht="15" hidden="false" customHeight="false" outlineLevel="0" collapsed="false">
      <c r="A264" s="10" t="s">
        <v>2210</v>
      </c>
      <c r="B264" s="19" t="n">
        <v>229</v>
      </c>
      <c r="C264" s="10" t="s">
        <v>1439</v>
      </c>
    </row>
    <row r="265" customFormat="false" ht="15" hidden="false" customHeight="false" outlineLevel="0" collapsed="false">
      <c r="A265" s="10" t="s">
        <v>2211</v>
      </c>
      <c r="B265" s="19" t="n">
        <v>226</v>
      </c>
      <c r="C265" s="10" t="s">
        <v>1589</v>
      </c>
    </row>
    <row r="266" customFormat="false" ht="15" hidden="false" customHeight="false" outlineLevel="0" collapsed="false">
      <c r="A266" s="10" t="s">
        <v>2212</v>
      </c>
      <c r="B266" s="19" t="n">
        <v>225</v>
      </c>
      <c r="C266" s="10" t="s">
        <v>1573</v>
      </c>
    </row>
    <row r="267" customFormat="false" ht="15" hidden="false" customHeight="false" outlineLevel="0" collapsed="false">
      <c r="A267" s="10" t="s">
        <v>2213</v>
      </c>
      <c r="B267" s="19" t="n">
        <v>225</v>
      </c>
      <c r="C267" s="10" t="s">
        <v>1603</v>
      </c>
    </row>
    <row r="268" customFormat="false" ht="15" hidden="false" customHeight="false" outlineLevel="0" collapsed="false">
      <c r="A268" s="10" t="s">
        <v>2214</v>
      </c>
      <c r="B268" s="19" t="n">
        <v>225</v>
      </c>
      <c r="C268" s="10" t="s">
        <v>1819</v>
      </c>
    </row>
    <row r="269" customFormat="false" ht="15" hidden="false" customHeight="false" outlineLevel="0" collapsed="false">
      <c r="A269" s="10" t="s">
        <v>2215</v>
      </c>
      <c r="B269" s="19" t="n">
        <v>224</v>
      </c>
      <c r="C269" s="10" t="s">
        <v>1439</v>
      </c>
    </row>
    <row r="270" customFormat="false" ht="15" hidden="false" customHeight="false" outlineLevel="0" collapsed="false">
      <c r="A270" s="10" t="s">
        <v>2216</v>
      </c>
      <c r="B270" s="19" t="n">
        <v>224</v>
      </c>
      <c r="C270" s="10" t="s">
        <v>1500</v>
      </c>
    </row>
    <row r="271" customFormat="false" ht="15" hidden="false" customHeight="false" outlineLevel="0" collapsed="false">
      <c r="A271" s="10" t="s">
        <v>2217</v>
      </c>
      <c r="B271" s="19" t="n">
        <v>224</v>
      </c>
      <c r="C271" s="10" t="s">
        <v>1515</v>
      </c>
    </row>
    <row r="272" customFormat="false" ht="15" hidden="false" customHeight="false" outlineLevel="0" collapsed="false">
      <c r="A272" s="10" t="s">
        <v>2218</v>
      </c>
      <c r="B272" s="19" t="n">
        <v>223</v>
      </c>
      <c r="C272" s="10" t="s">
        <v>1629</v>
      </c>
    </row>
    <row r="273" customFormat="false" ht="15" hidden="false" customHeight="false" outlineLevel="0" collapsed="false">
      <c r="A273" s="10" t="s">
        <v>2219</v>
      </c>
      <c r="B273" s="19" t="n">
        <v>223</v>
      </c>
      <c r="C273" s="10" t="s">
        <v>1795</v>
      </c>
    </row>
    <row r="274" customFormat="false" ht="15" hidden="false" customHeight="false" outlineLevel="0" collapsed="false">
      <c r="A274" s="10" t="s">
        <v>2220</v>
      </c>
      <c r="B274" s="19" t="n">
        <v>222</v>
      </c>
      <c r="C274" s="10" t="s">
        <v>1687</v>
      </c>
    </row>
    <row r="275" customFormat="false" ht="15" hidden="false" customHeight="false" outlineLevel="0" collapsed="false">
      <c r="A275" s="10" t="s">
        <v>2221</v>
      </c>
      <c r="B275" s="19" t="n">
        <v>218</v>
      </c>
      <c r="C275" s="10" t="s">
        <v>1845</v>
      </c>
    </row>
    <row r="276" customFormat="false" ht="15" hidden="false" customHeight="false" outlineLevel="0" collapsed="false">
      <c r="A276" s="10" t="s">
        <v>2222</v>
      </c>
      <c r="B276" s="19" t="n">
        <v>217</v>
      </c>
      <c r="C276" s="10" t="s">
        <v>1773</v>
      </c>
    </row>
    <row r="277" customFormat="false" ht="15" hidden="false" customHeight="false" outlineLevel="0" collapsed="false">
      <c r="A277" s="10" t="s">
        <v>2223</v>
      </c>
      <c r="B277" s="19" t="n">
        <v>216</v>
      </c>
      <c r="C277" s="10" t="s">
        <v>1694</v>
      </c>
    </row>
    <row r="278" customFormat="false" ht="15" hidden="false" customHeight="false" outlineLevel="0" collapsed="false">
      <c r="A278" s="10" t="s">
        <v>2224</v>
      </c>
      <c r="B278" s="19" t="n">
        <v>215</v>
      </c>
      <c r="C278" s="10" t="s">
        <v>1785</v>
      </c>
    </row>
    <row r="279" customFormat="false" ht="15" hidden="false" customHeight="false" outlineLevel="0" collapsed="false">
      <c r="A279" s="10" t="s">
        <v>2225</v>
      </c>
      <c r="B279" s="19" t="n">
        <v>215</v>
      </c>
      <c r="C279" s="10" t="s">
        <v>1462</v>
      </c>
    </row>
    <row r="280" customFormat="false" ht="15" hidden="false" customHeight="false" outlineLevel="0" collapsed="false">
      <c r="A280" s="10" t="s">
        <v>2226</v>
      </c>
      <c r="B280" s="19" t="n">
        <v>214</v>
      </c>
      <c r="C280" s="10" t="s">
        <v>1819</v>
      </c>
    </row>
    <row r="281" customFormat="false" ht="15" hidden="false" customHeight="false" outlineLevel="0" collapsed="false">
      <c r="A281" s="10" t="s">
        <v>2227</v>
      </c>
      <c r="B281" s="19" t="n">
        <v>214</v>
      </c>
      <c r="C281" s="10" t="s">
        <v>1819</v>
      </c>
    </row>
    <row r="282" customFormat="false" ht="15" hidden="false" customHeight="false" outlineLevel="0" collapsed="false">
      <c r="A282" s="10" t="s">
        <v>2228</v>
      </c>
      <c r="B282" s="19" t="n">
        <v>212</v>
      </c>
      <c r="C282" s="10" t="s">
        <v>1687</v>
      </c>
    </row>
    <row r="283" customFormat="false" ht="15" hidden="false" customHeight="false" outlineLevel="0" collapsed="false">
      <c r="A283" s="10" t="s">
        <v>2229</v>
      </c>
      <c r="B283" s="19" t="n">
        <v>212</v>
      </c>
      <c r="C283" s="10" t="s">
        <v>1711</v>
      </c>
    </row>
    <row r="284" customFormat="false" ht="15" hidden="false" customHeight="false" outlineLevel="0" collapsed="false">
      <c r="A284" s="10" t="s">
        <v>2230</v>
      </c>
      <c r="B284" s="19" t="n">
        <v>212</v>
      </c>
      <c r="C284" s="10" t="s">
        <v>1819</v>
      </c>
    </row>
    <row r="285" customFormat="false" ht="15" hidden="false" customHeight="false" outlineLevel="0" collapsed="false">
      <c r="A285" s="10" t="s">
        <v>2231</v>
      </c>
      <c r="B285" s="19" t="n">
        <v>210</v>
      </c>
      <c r="C285" s="10" t="s">
        <v>1676</v>
      </c>
    </row>
    <row r="286" customFormat="false" ht="15" hidden="false" customHeight="false" outlineLevel="0" collapsed="false">
      <c r="A286" s="10" t="s">
        <v>2232</v>
      </c>
      <c r="B286" s="19" t="n">
        <v>209</v>
      </c>
      <c r="C286" s="10" t="s">
        <v>1683</v>
      </c>
    </row>
    <row r="287" customFormat="false" ht="15" hidden="false" customHeight="false" outlineLevel="0" collapsed="false">
      <c r="A287" s="10" t="s">
        <v>2233</v>
      </c>
      <c r="B287" s="19" t="n">
        <v>209</v>
      </c>
      <c r="C287" s="10" t="s">
        <v>1715</v>
      </c>
    </row>
    <row r="288" customFormat="false" ht="15" hidden="false" customHeight="false" outlineLevel="0" collapsed="false">
      <c r="A288" s="10" t="s">
        <v>2234</v>
      </c>
      <c r="B288" s="19" t="n">
        <v>208</v>
      </c>
      <c r="C288" s="10" t="s">
        <v>1685</v>
      </c>
    </row>
    <row r="289" customFormat="false" ht="15" hidden="false" customHeight="false" outlineLevel="0" collapsed="false">
      <c r="A289" s="10" t="s">
        <v>2235</v>
      </c>
      <c r="B289" s="19" t="n">
        <v>208</v>
      </c>
      <c r="C289" s="10" t="s">
        <v>1473</v>
      </c>
    </row>
    <row r="290" customFormat="false" ht="15" hidden="false" customHeight="false" outlineLevel="0" collapsed="false">
      <c r="A290" s="10" t="s">
        <v>2236</v>
      </c>
      <c r="B290" s="19" t="n">
        <v>208</v>
      </c>
      <c r="C290" s="10" t="s">
        <v>1480</v>
      </c>
    </row>
    <row r="291" customFormat="false" ht="15" hidden="false" customHeight="false" outlineLevel="0" collapsed="false">
      <c r="A291" s="10" t="s">
        <v>2237</v>
      </c>
      <c r="B291" s="19" t="n">
        <v>204</v>
      </c>
      <c r="C291" s="10" t="s">
        <v>1443</v>
      </c>
    </row>
    <row r="292" customFormat="false" ht="15" hidden="false" customHeight="false" outlineLevel="0" collapsed="false">
      <c r="A292" s="10" t="s">
        <v>2238</v>
      </c>
      <c r="B292" s="19" t="n">
        <v>203</v>
      </c>
      <c r="C292" s="10" t="s">
        <v>1827</v>
      </c>
    </row>
    <row r="293" customFormat="false" ht="15" hidden="false" customHeight="false" outlineLevel="0" collapsed="false">
      <c r="A293" s="10" t="s">
        <v>2239</v>
      </c>
      <c r="B293" s="19" t="n">
        <v>203</v>
      </c>
      <c r="C293" s="10" t="s">
        <v>1536</v>
      </c>
    </row>
    <row r="294" customFormat="false" ht="15" hidden="false" customHeight="false" outlineLevel="0" collapsed="false">
      <c r="A294" s="10" t="s">
        <v>2240</v>
      </c>
      <c r="B294" s="19" t="n">
        <v>202</v>
      </c>
      <c r="C294" s="10" t="s">
        <v>1515</v>
      </c>
    </row>
    <row r="295" customFormat="false" ht="15" hidden="false" customHeight="false" outlineLevel="0" collapsed="false">
      <c r="A295" s="10" t="s">
        <v>2241</v>
      </c>
      <c r="B295" s="19" t="n">
        <v>201</v>
      </c>
      <c r="C295" s="10" t="s">
        <v>1811</v>
      </c>
    </row>
    <row r="296" customFormat="false" ht="15" hidden="false" customHeight="false" outlineLevel="0" collapsed="false">
      <c r="A296" s="10" t="s">
        <v>2242</v>
      </c>
      <c r="B296" s="19" t="n">
        <v>200</v>
      </c>
      <c r="C296" s="10" t="s">
        <v>1847</v>
      </c>
    </row>
    <row r="297" customFormat="false" ht="15" hidden="false" customHeight="false" outlineLevel="0" collapsed="false">
      <c r="A297" s="10" t="s">
        <v>2243</v>
      </c>
      <c r="B297" s="19" t="n">
        <v>200</v>
      </c>
      <c r="C297" s="10" t="s">
        <v>1847</v>
      </c>
    </row>
    <row r="298" customFormat="false" ht="15" hidden="false" customHeight="false" outlineLevel="0" collapsed="false">
      <c r="A298" s="10" t="s">
        <v>2244</v>
      </c>
      <c r="B298" s="19" t="n">
        <v>200</v>
      </c>
      <c r="C298" s="10" t="s">
        <v>1520</v>
      </c>
    </row>
    <row r="299" customFormat="false" ht="15" hidden="false" customHeight="false" outlineLevel="0" collapsed="false">
      <c r="A299" s="10" t="s">
        <v>2245</v>
      </c>
      <c r="B299" s="19" t="n">
        <v>200</v>
      </c>
      <c r="C299" s="10" t="s">
        <v>1715</v>
      </c>
    </row>
    <row r="300" customFormat="false" ht="15" hidden="false" customHeight="false" outlineLevel="0" collapsed="false">
      <c r="A300" s="10" t="s">
        <v>2246</v>
      </c>
      <c r="B300" s="19" t="n">
        <v>198</v>
      </c>
      <c r="C300" s="10" t="s">
        <v>1773</v>
      </c>
    </row>
    <row r="301" customFormat="false" ht="15" hidden="false" customHeight="false" outlineLevel="0" collapsed="false">
      <c r="A301" s="10" t="s">
        <v>2247</v>
      </c>
      <c r="B301" s="19" t="n">
        <v>198</v>
      </c>
      <c r="C301" s="10" t="s">
        <v>1765</v>
      </c>
    </row>
    <row r="302" customFormat="false" ht="15" hidden="false" customHeight="false" outlineLevel="0" collapsed="false">
      <c r="A302" s="10" t="s">
        <v>2248</v>
      </c>
      <c r="B302" s="19" t="n">
        <v>197</v>
      </c>
      <c r="C302" s="10" t="s">
        <v>1530</v>
      </c>
    </row>
    <row r="303" customFormat="false" ht="15" hidden="false" customHeight="false" outlineLevel="0" collapsed="false">
      <c r="A303" s="10" t="s">
        <v>2249</v>
      </c>
      <c r="B303" s="19" t="n">
        <v>197</v>
      </c>
      <c r="C303" s="10" t="s">
        <v>1645</v>
      </c>
    </row>
    <row r="304" customFormat="false" ht="15" hidden="false" customHeight="false" outlineLevel="0" collapsed="false">
      <c r="A304" s="10" t="s">
        <v>2250</v>
      </c>
      <c r="B304" s="19" t="n">
        <v>196</v>
      </c>
      <c r="C304" s="10" t="s">
        <v>1645</v>
      </c>
    </row>
    <row r="305" customFormat="false" ht="15" hidden="false" customHeight="false" outlineLevel="0" collapsed="false">
      <c r="A305" s="10" t="s">
        <v>2251</v>
      </c>
      <c r="B305" s="19" t="n">
        <v>196</v>
      </c>
      <c r="C305" s="10" t="s">
        <v>1589</v>
      </c>
    </row>
    <row r="306" customFormat="false" ht="15" hidden="false" customHeight="false" outlineLevel="0" collapsed="false">
      <c r="A306" s="10" t="s">
        <v>2252</v>
      </c>
      <c r="B306" s="19" t="n">
        <v>196</v>
      </c>
      <c r="C306" s="10" t="s">
        <v>1795</v>
      </c>
    </row>
    <row r="307" customFormat="false" ht="15" hidden="false" customHeight="false" outlineLevel="0" collapsed="false">
      <c r="A307" s="10" t="s">
        <v>2253</v>
      </c>
      <c r="B307" s="19" t="n">
        <v>195</v>
      </c>
      <c r="C307" s="10" t="s">
        <v>1520</v>
      </c>
    </row>
    <row r="308" customFormat="false" ht="15" hidden="false" customHeight="false" outlineLevel="0" collapsed="false">
      <c r="A308" s="10" t="s">
        <v>2254</v>
      </c>
      <c r="B308" s="19" t="n">
        <v>193</v>
      </c>
      <c r="C308" s="10" t="s">
        <v>1611</v>
      </c>
    </row>
    <row r="309" customFormat="false" ht="15" hidden="false" customHeight="false" outlineLevel="0" collapsed="false">
      <c r="A309" s="10" t="s">
        <v>2255</v>
      </c>
      <c r="B309" s="19" t="n">
        <v>193</v>
      </c>
      <c r="C309" s="10" t="s">
        <v>1789</v>
      </c>
    </row>
    <row r="310" customFormat="false" ht="15" hidden="false" customHeight="false" outlineLevel="0" collapsed="false">
      <c r="A310" s="10" t="s">
        <v>2256</v>
      </c>
      <c r="B310" s="19" t="n">
        <v>193</v>
      </c>
      <c r="C310" s="10" t="s">
        <v>1773</v>
      </c>
    </row>
    <row r="311" customFormat="false" ht="15" hidden="false" customHeight="false" outlineLevel="0" collapsed="false">
      <c r="A311" s="10" t="s">
        <v>2257</v>
      </c>
      <c r="B311" s="19" t="n">
        <v>193</v>
      </c>
      <c r="C311" s="10" t="s">
        <v>1777</v>
      </c>
    </row>
    <row r="312" customFormat="false" ht="15" hidden="false" customHeight="false" outlineLevel="0" collapsed="false">
      <c r="A312" s="10" t="s">
        <v>2258</v>
      </c>
      <c r="B312" s="19" t="n">
        <v>193</v>
      </c>
      <c r="C312" s="10" t="s">
        <v>1515</v>
      </c>
    </row>
    <row r="313" customFormat="false" ht="15" hidden="false" customHeight="false" outlineLevel="0" collapsed="false">
      <c r="A313" s="10" t="s">
        <v>2259</v>
      </c>
      <c r="B313" s="19" t="n">
        <v>192</v>
      </c>
      <c r="C313" s="10" t="s">
        <v>1515</v>
      </c>
    </row>
    <row r="314" customFormat="false" ht="15" hidden="false" customHeight="false" outlineLevel="0" collapsed="false">
      <c r="A314" s="10" t="s">
        <v>2260</v>
      </c>
      <c r="B314" s="19" t="n">
        <v>192</v>
      </c>
      <c r="C314" s="10" t="s">
        <v>1627</v>
      </c>
    </row>
    <row r="315" customFormat="false" ht="15" hidden="false" customHeight="false" outlineLevel="0" collapsed="false">
      <c r="A315" s="10" t="s">
        <v>2261</v>
      </c>
      <c r="B315" s="19" t="n">
        <v>192</v>
      </c>
      <c r="C315" s="10" t="s">
        <v>1676</v>
      </c>
    </row>
    <row r="316" customFormat="false" ht="15" hidden="false" customHeight="false" outlineLevel="0" collapsed="false">
      <c r="A316" s="10" t="s">
        <v>2262</v>
      </c>
      <c r="B316" s="19" t="n">
        <v>191</v>
      </c>
      <c r="C316" s="10" t="s">
        <v>1480</v>
      </c>
    </row>
    <row r="317" customFormat="false" ht="15" hidden="false" customHeight="false" outlineLevel="0" collapsed="false">
      <c r="A317" s="10" t="s">
        <v>2263</v>
      </c>
      <c r="B317" s="19" t="n">
        <v>190</v>
      </c>
      <c r="C317" s="10" t="s">
        <v>1480</v>
      </c>
    </row>
    <row r="318" customFormat="false" ht="15" hidden="false" customHeight="false" outlineLevel="0" collapsed="false">
      <c r="A318" s="10" t="s">
        <v>2264</v>
      </c>
      <c r="B318" s="19" t="n">
        <v>190</v>
      </c>
      <c r="C318" s="10" t="s">
        <v>1645</v>
      </c>
    </row>
    <row r="319" customFormat="false" ht="15" hidden="false" customHeight="false" outlineLevel="0" collapsed="false">
      <c r="A319" s="10" t="s">
        <v>2265</v>
      </c>
      <c r="B319" s="19" t="n">
        <v>188</v>
      </c>
      <c r="C319" s="10" t="s">
        <v>1603</v>
      </c>
    </row>
    <row r="320" customFormat="false" ht="15" hidden="false" customHeight="false" outlineLevel="0" collapsed="false">
      <c r="A320" s="10" t="s">
        <v>2266</v>
      </c>
      <c r="B320" s="19" t="n">
        <v>188</v>
      </c>
      <c r="C320" s="10" t="s">
        <v>1480</v>
      </c>
    </row>
    <row r="321" customFormat="false" ht="15" hidden="false" customHeight="false" outlineLevel="0" collapsed="false">
      <c r="A321" s="10" t="s">
        <v>2267</v>
      </c>
      <c r="B321" s="19" t="n">
        <v>187</v>
      </c>
      <c r="C321" s="10" t="s">
        <v>1515</v>
      </c>
    </row>
    <row r="322" customFormat="false" ht="15" hidden="false" customHeight="false" outlineLevel="0" collapsed="false">
      <c r="A322" s="10" t="s">
        <v>2268</v>
      </c>
      <c r="B322" s="19" t="n">
        <v>186</v>
      </c>
      <c r="C322" s="10" t="s">
        <v>1538</v>
      </c>
    </row>
    <row r="323" customFormat="false" ht="15" hidden="false" customHeight="false" outlineLevel="0" collapsed="false">
      <c r="A323" s="10" t="s">
        <v>2269</v>
      </c>
      <c r="B323" s="19" t="n">
        <v>185</v>
      </c>
      <c r="C323" s="10" t="s">
        <v>1439</v>
      </c>
    </row>
    <row r="324" customFormat="false" ht="15" hidden="false" customHeight="false" outlineLevel="0" collapsed="false">
      <c r="A324" s="10" t="s">
        <v>2270</v>
      </c>
      <c r="B324" s="19" t="n">
        <v>182</v>
      </c>
      <c r="C324" s="10" t="s">
        <v>1515</v>
      </c>
    </row>
    <row r="325" customFormat="false" ht="15" hidden="false" customHeight="false" outlineLevel="0" collapsed="false">
      <c r="A325" s="10" t="s">
        <v>2271</v>
      </c>
      <c r="B325" s="19" t="n">
        <v>181</v>
      </c>
      <c r="C325" s="10" t="s">
        <v>1439</v>
      </c>
    </row>
    <row r="326" customFormat="false" ht="15" hidden="false" customHeight="false" outlineLevel="0" collapsed="false">
      <c r="A326" s="10" t="s">
        <v>2272</v>
      </c>
      <c r="B326" s="19" t="n">
        <v>181</v>
      </c>
      <c r="C326" s="10" t="s">
        <v>1515</v>
      </c>
    </row>
    <row r="327" customFormat="false" ht="15" hidden="false" customHeight="false" outlineLevel="0" collapsed="false">
      <c r="A327" s="10" t="s">
        <v>2273</v>
      </c>
      <c r="B327" s="19" t="n">
        <v>180</v>
      </c>
      <c r="C327" s="10" t="s">
        <v>1443</v>
      </c>
    </row>
    <row r="328" customFormat="false" ht="15" hidden="false" customHeight="false" outlineLevel="0" collapsed="false">
      <c r="A328" s="10" t="s">
        <v>2274</v>
      </c>
      <c r="B328" s="19" t="n">
        <v>179</v>
      </c>
      <c r="C328" s="10" t="s">
        <v>1713</v>
      </c>
    </row>
    <row r="329" customFormat="false" ht="15" hidden="false" customHeight="false" outlineLevel="0" collapsed="false">
      <c r="A329" s="10" t="s">
        <v>2275</v>
      </c>
      <c r="B329" s="19" t="n">
        <v>178</v>
      </c>
      <c r="C329" s="10" t="s">
        <v>1443</v>
      </c>
    </row>
    <row r="330" customFormat="false" ht="15" hidden="false" customHeight="false" outlineLevel="0" collapsed="false">
      <c r="A330" s="10" t="s">
        <v>2276</v>
      </c>
      <c r="B330" s="19" t="n">
        <v>178</v>
      </c>
      <c r="C330" s="10" t="s">
        <v>1765</v>
      </c>
    </row>
    <row r="331" customFormat="false" ht="15" hidden="false" customHeight="false" outlineLevel="0" collapsed="false">
      <c r="A331" s="10" t="s">
        <v>2277</v>
      </c>
      <c r="B331" s="19" t="n">
        <v>178</v>
      </c>
      <c r="C331" s="10" t="s">
        <v>1709</v>
      </c>
    </row>
    <row r="332" customFormat="false" ht="15" hidden="false" customHeight="false" outlineLevel="0" collapsed="false">
      <c r="A332" s="10" t="s">
        <v>2278</v>
      </c>
      <c r="B332" s="19" t="n">
        <v>175</v>
      </c>
      <c r="C332" s="10" t="s">
        <v>1741</v>
      </c>
    </row>
    <row r="333" customFormat="false" ht="15" hidden="false" customHeight="false" outlineLevel="0" collapsed="false">
      <c r="A333" s="10" t="s">
        <v>2279</v>
      </c>
      <c r="B333" s="19" t="n">
        <v>174</v>
      </c>
      <c r="C333" s="10" t="s">
        <v>1676</v>
      </c>
    </row>
    <row r="334" customFormat="false" ht="15" hidden="false" customHeight="false" outlineLevel="0" collapsed="false">
      <c r="A334" s="10" t="s">
        <v>2280</v>
      </c>
      <c r="B334" s="19" t="n">
        <v>174</v>
      </c>
      <c r="C334" s="10" t="s">
        <v>1520</v>
      </c>
    </row>
    <row r="335" customFormat="false" ht="15" hidden="false" customHeight="false" outlineLevel="0" collapsed="false">
      <c r="A335" s="10" t="s">
        <v>2281</v>
      </c>
      <c r="B335" s="19" t="n">
        <v>174</v>
      </c>
      <c r="C335" s="10" t="s">
        <v>1603</v>
      </c>
    </row>
    <row r="336" customFormat="false" ht="15" hidden="false" customHeight="false" outlineLevel="0" collapsed="false">
      <c r="A336" s="10" t="s">
        <v>2282</v>
      </c>
      <c r="B336" s="19" t="n">
        <v>173</v>
      </c>
      <c r="C336" s="10" t="s">
        <v>1694</v>
      </c>
    </row>
    <row r="337" customFormat="false" ht="15" hidden="false" customHeight="false" outlineLevel="0" collapsed="false">
      <c r="A337" s="10" t="s">
        <v>2283</v>
      </c>
      <c r="B337" s="19" t="n">
        <v>173</v>
      </c>
      <c r="C337" s="10" t="s">
        <v>1609</v>
      </c>
    </row>
    <row r="338" customFormat="false" ht="15" hidden="false" customHeight="false" outlineLevel="0" collapsed="false">
      <c r="A338" s="10" t="s">
        <v>2284</v>
      </c>
      <c r="B338" s="19" t="n">
        <v>171</v>
      </c>
      <c r="C338" s="10" t="s">
        <v>1500</v>
      </c>
    </row>
    <row r="339" customFormat="false" ht="15" hidden="false" customHeight="false" outlineLevel="0" collapsed="false">
      <c r="A339" s="10" t="s">
        <v>2285</v>
      </c>
      <c r="B339" s="19" t="n">
        <v>170</v>
      </c>
      <c r="C339" s="10" t="s">
        <v>1697</v>
      </c>
    </row>
    <row r="340" customFormat="false" ht="15" hidden="false" customHeight="false" outlineLevel="0" collapsed="false">
      <c r="A340" s="10" t="s">
        <v>2286</v>
      </c>
      <c r="B340" s="19" t="n">
        <v>170</v>
      </c>
      <c r="C340" s="10" t="s">
        <v>1492</v>
      </c>
    </row>
    <row r="341" customFormat="false" ht="15" hidden="false" customHeight="false" outlineLevel="0" collapsed="false">
      <c r="A341" s="10" t="s">
        <v>2287</v>
      </c>
      <c r="B341" s="19" t="n">
        <v>169</v>
      </c>
      <c r="C341" s="10" t="s">
        <v>1478</v>
      </c>
    </row>
    <row r="342" customFormat="false" ht="15" hidden="false" customHeight="false" outlineLevel="0" collapsed="false">
      <c r="A342" s="10" t="s">
        <v>2288</v>
      </c>
      <c r="B342" s="19" t="n">
        <v>168</v>
      </c>
      <c r="C342" s="10" t="s">
        <v>1482</v>
      </c>
    </row>
    <row r="343" customFormat="false" ht="15" hidden="false" customHeight="false" outlineLevel="0" collapsed="false">
      <c r="A343" s="10" t="s">
        <v>2289</v>
      </c>
      <c r="B343" s="19" t="n">
        <v>167</v>
      </c>
      <c r="C343" s="10" t="s">
        <v>1512</v>
      </c>
    </row>
    <row r="344" customFormat="false" ht="15" hidden="false" customHeight="false" outlineLevel="0" collapsed="false">
      <c r="A344" s="10" t="s">
        <v>2290</v>
      </c>
      <c r="B344" s="19" t="n">
        <v>166</v>
      </c>
      <c r="C344" s="10" t="s">
        <v>1538</v>
      </c>
    </row>
    <row r="345" customFormat="false" ht="15" hidden="false" customHeight="false" outlineLevel="0" collapsed="false">
      <c r="A345" s="10" t="s">
        <v>2291</v>
      </c>
      <c r="B345" s="19" t="n">
        <v>165</v>
      </c>
      <c r="C345" s="10" t="s">
        <v>1538</v>
      </c>
    </row>
    <row r="346" customFormat="false" ht="15" hidden="false" customHeight="false" outlineLevel="0" collapsed="false">
      <c r="A346" s="10" t="s">
        <v>2292</v>
      </c>
      <c r="B346" s="19" t="n">
        <v>165</v>
      </c>
      <c r="C346" s="10" t="s">
        <v>1645</v>
      </c>
    </row>
    <row r="347" customFormat="false" ht="15" hidden="false" customHeight="false" outlineLevel="0" collapsed="false">
      <c r="A347" s="10" t="s">
        <v>2293</v>
      </c>
      <c r="B347" s="19" t="n">
        <v>164</v>
      </c>
      <c r="C347" s="10" t="s">
        <v>1781</v>
      </c>
    </row>
    <row r="348" customFormat="false" ht="15" hidden="false" customHeight="false" outlineLevel="0" collapsed="false">
      <c r="A348" s="10" t="s">
        <v>2294</v>
      </c>
      <c r="B348" s="19" t="n">
        <v>164</v>
      </c>
      <c r="C348" s="10" t="s">
        <v>1464</v>
      </c>
    </row>
    <row r="349" customFormat="false" ht="15" hidden="false" customHeight="false" outlineLevel="0" collapsed="false">
      <c r="A349" s="10" t="s">
        <v>2295</v>
      </c>
      <c r="B349" s="19" t="n">
        <v>164</v>
      </c>
      <c r="C349" s="10" t="s">
        <v>1473</v>
      </c>
    </row>
    <row r="350" customFormat="false" ht="15" hidden="false" customHeight="false" outlineLevel="0" collapsed="false">
      <c r="A350" s="10" t="s">
        <v>2296</v>
      </c>
      <c r="B350" s="19" t="n">
        <v>162</v>
      </c>
      <c r="C350" s="10" t="s">
        <v>1765</v>
      </c>
    </row>
    <row r="351" customFormat="false" ht="15" hidden="false" customHeight="false" outlineLevel="0" collapsed="false">
      <c r="A351" s="10" t="s">
        <v>2297</v>
      </c>
      <c r="B351" s="19" t="n">
        <v>161</v>
      </c>
      <c r="C351" s="10" t="s">
        <v>1811</v>
      </c>
    </row>
    <row r="352" customFormat="false" ht="15" hidden="false" customHeight="false" outlineLevel="0" collapsed="false">
      <c r="A352" s="10" t="s">
        <v>2298</v>
      </c>
      <c r="B352" s="19" t="n">
        <v>159</v>
      </c>
      <c r="C352" s="10" t="s">
        <v>1439</v>
      </c>
    </row>
    <row r="353" customFormat="false" ht="15" hidden="false" customHeight="false" outlineLevel="0" collapsed="false">
      <c r="A353" s="10" t="s">
        <v>2299</v>
      </c>
      <c r="B353" s="19" t="n">
        <v>158</v>
      </c>
      <c r="C353" s="10" t="s">
        <v>1765</v>
      </c>
    </row>
    <row r="354" customFormat="false" ht="15" hidden="false" customHeight="false" outlineLevel="0" collapsed="false">
      <c r="A354" s="10" t="s">
        <v>2300</v>
      </c>
      <c r="B354" s="19" t="n">
        <v>158</v>
      </c>
      <c r="C354" s="10" t="s">
        <v>1439</v>
      </c>
    </row>
    <row r="355" customFormat="false" ht="15" hidden="false" customHeight="false" outlineLevel="0" collapsed="false">
      <c r="A355" s="10" t="s">
        <v>2301</v>
      </c>
      <c r="B355" s="19" t="n">
        <v>156</v>
      </c>
      <c r="C355" s="10" t="s">
        <v>1747</v>
      </c>
    </row>
    <row r="356" customFormat="false" ht="15" hidden="false" customHeight="false" outlineLevel="0" collapsed="false">
      <c r="A356" s="10" t="s">
        <v>2302</v>
      </c>
      <c r="B356" s="19" t="n">
        <v>155</v>
      </c>
      <c r="C356" s="10" t="s">
        <v>1611</v>
      </c>
    </row>
    <row r="357" customFormat="false" ht="15" hidden="false" customHeight="false" outlineLevel="0" collapsed="false">
      <c r="A357" s="10" t="s">
        <v>2303</v>
      </c>
      <c r="B357" s="19" t="n">
        <v>154</v>
      </c>
      <c r="C357" s="10" t="s">
        <v>1443</v>
      </c>
    </row>
    <row r="358" customFormat="false" ht="15" hidden="false" customHeight="false" outlineLevel="0" collapsed="false">
      <c r="A358" s="10" t="s">
        <v>2304</v>
      </c>
      <c r="B358" s="19" t="n">
        <v>154</v>
      </c>
      <c r="C358" s="10" t="s">
        <v>1439</v>
      </c>
    </row>
    <row r="359" customFormat="false" ht="15" hidden="false" customHeight="false" outlineLevel="0" collapsed="false">
      <c r="A359" s="10" t="s">
        <v>2305</v>
      </c>
      <c r="B359" s="19" t="n">
        <v>153</v>
      </c>
      <c r="C359" s="10" t="s">
        <v>1581</v>
      </c>
    </row>
    <row r="360" customFormat="false" ht="15" hidden="false" customHeight="false" outlineLevel="0" collapsed="false">
      <c r="A360" s="10" t="s">
        <v>2306</v>
      </c>
      <c r="B360" s="19" t="n">
        <v>153</v>
      </c>
      <c r="C360" s="10" t="s">
        <v>1496</v>
      </c>
    </row>
    <row r="361" customFormat="false" ht="15" hidden="false" customHeight="false" outlineLevel="0" collapsed="false">
      <c r="A361" s="10" t="s">
        <v>2307</v>
      </c>
      <c r="B361" s="19" t="n">
        <v>152</v>
      </c>
      <c r="C361" s="10" t="s">
        <v>1439</v>
      </c>
    </row>
    <row r="362" customFormat="false" ht="15" hidden="false" customHeight="false" outlineLevel="0" collapsed="false">
      <c r="A362" s="10" t="s">
        <v>2308</v>
      </c>
      <c r="B362" s="19" t="n">
        <v>152</v>
      </c>
      <c r="C362" s="10" t="s">
        <v>1697</v>
      </c>
    </row>
    <row r="363" customFormat="false" ht="15" hidden="false" customHeight="false" outlineLevel="0" collapsed="false">
      <c r="A363" s="10" t="s">
        <v>2309</v>
      </c>
      <c r="B363" s="19" t="n">
        <v>152</v>
      </c>
      <c r="C363" s="10" t="s">
        <v>1515</v>
      </c>
    </row>
    <row r="364" customFormat="false" ht="15" hidden="false" customHeight="false" outlineLevel="0" collapsed="false">
      <c r="A364" s="10" t="s">
        <v>2310</v>
      </c>
      <c r="B364" s="19" t="n">
        <v>152</v>
      </c>
      <c r="C364" s="10" t="s">
        <v>1506</v>
      </c>
    </row>
    <row r="365" customFormat="false" ht="15" hidden="false" customHeight="false" outlineLevel="0" collapsed="false">
      <c r="A365" s="10" t="s">
        <v>2311</v>
      </c>
      <c r="B365" s="19" t="n">
        <v>151</v>
      </c>
      <c r="C365" s="10" t="s">
        <v>1548</v>
      </c>
    </row>
    <row r="366" customFormat="false" ht="15" hidden="false" customHeight="false" outlineLevel="0" collapsed="false">
      <c r="A366" s="10" t="s">
        <v>2312</v>
      </c>
      <c r="B366" s="19" t="n">
        <v>151</v>
      </c>
      <c r="C366" s="10" t="s">
        <v>1548</v>
      </c>
    </row>
    <row r="367" customFormat="false" ht="15" hidden="false" customHeight="false" outlineLevel="0" collapsed="false">
      <c r="A367" s="10" t="s">
        <v>2313</v>
      </c>
      <c r="B367" s="19" t="n">
        <v>151</v>
      </c>
      <c r="C367" s="10" t="s">
        <v>1649</v>
      </c>
    </row>
    <row r="368" customFormat="false" ht="15" hidden="false" customHeight="false" outlineLevel="0" collapsed="false">
      <c r="A368" s="10" t="s">
        <v>2314</v>
      </c>
      <c r="B368" s="19" t="n">
        <v>151</v>
      </c>
      <c r="C368" s="10" t="s">
        <v>1482</v>
      </c>
    </row>
    <row r="369" customFormat="false" ht="15" hidden="false" customHeight="false" outlineLevel="0" collapsed="false">
      <c r="A369" s="10" t="s">
        <v>2315</v>
      </c>
      <c r="B369" s="19" t="n">
        <v>150</v>
      </c>
      <c r="C369" s="10" t="s">
        <v>1546</v>
      </c>
    </row>
    <row r="370" customFormat="false" ht="15" hidden="false" customHeight="false" outlineLevel="0" collapsed="false">
      <c r="A370" s="10" t="s">
        <v>2316</v>
      </c>
      <c r="B370" s="19" t="n">
        <v>149</v>
      </c>
      <c r="C370" s="10" t="s">
        <v>1515</v>
      </c>
    </row>
    <row r="371" customFormat="false" ht="15" hidden="false" customHeight="false" outlineLevel="0" collapsed="false">
      <c r="A371" s="10" t="s">
        <v>2317</v>
      </c>
      <c r="B371" s="19" t="n">
        <v>149</v>
      </c>
      <c r="C371" s="10" t="s">
        <v>1705</v>
      </c>
    </row>
    <row r="372" customFormat="false" ht="15" hidden="false" customHeight="false" outlineLevel="0" collapsed="false">
      <c r="A372" s="10" t="s">
        <v>2318</v>
      </c>
      <c r="B372" s="19" t="n">
        <v>148</v>
      </c>
      <c r="C372" s="10" t="s">
        <v>1715</v>
      </c>
    </row>
    <row r="373" customFormat="false" ht="15" hidden="false" customHeight="false" outlineLevel="0" collapsed="false">
      <c r="A373" s="10" t="s">
        <v>2319</v>
      </c>
      <c r="B373" s="19" t="n">
        <v>148</v>
      </c>
      <c r="C373" s="10" t="s">
        <v>1439</v>
      </c>
    </row>
    <row r="374" customFormat="false" ht="15" hidden="false" customHeight="false" outlineLevel="0" collapsed="false">
      <c r="A374" s="10" t="s">
        <v>2320</v>
      </c>
      <c r="B374" s="19" t="n">
        <v>147</v>
      </c>
      <c r="C374" s="10" t="s">
        <v>1520</v>
      </c>
    </row>
    <row r="375" customFormat="false" ht="15" hidden="false" customHeight="false" outlineLevel="0" collapsed="false">
      <c r="A375" s="10" t="s">
        <v>2321</v>
      </c>
      <c r="B375" s="19" t="n">
        <v>147</v>
      </c>
      <c r="C375" s="10" t="s">
        <v>1725</v>
      </c>
    </row>
    <row r="376" customFormat="false" ht="15" hidden="false" customHeight="false" outlineLevel="0" collapsed="false">
      <c r="A376" s="10" t="s">
        <v>2322</v>
      </c>
      <c r="B376" s="19" t="n">
        <v>146</v>
      </c>
      <c r="C376" s="10" t="s">
        <v>1213</v>
      </c>
    </row>
    <row r="377" customFormat="false" ht="15" hidden="false" customHeight="false" outlineLevel="0" collapsed="false">
      <c r="A377" s="10" t="s">
        <v>2323</v>
      </c>
      <c r="B377" s="19" t="n">
        <v>146</v>
      </c>
      <c r="C377" s="10" t="s">
        <v>1817</v>
      </c>
    </row>
    <row r="378" customFormat="false" ht="15" hidden="false" customHeight="false" outlineLevel="0" collapsed="false">
      <c r="A378" s="10" t="s">
        <v>2324</v>
      </c>
      <c r="B378" s="19" t="n">
        <v>145</v>
      </c>
      <c r="C378" s="10" t="s">
        <v>1711</v>
      </c>
    </row>
    <row r="379" customFormat="false" ht="15" hidden="false" customHeight="false" outlineLevel="0" collapsed="false">
      <c r="A379" s="10" t="s">
        <v>2325</v>
      </c>
      <c r="B379" s="19" t="n">
        <v>145</v>
      </c>
      <c r="C379" s="10" t="s">
        <v>1676</v>
      </c>
    </row>
    <row r="380" customFormat="false" ht="15" hidden="false" customHeight="false" outlineLevel="0" collapsed="false">
      <c r="A380" s="10" t="s">
        <v>2326</v>
      </c>
      <c r="B380" s="19" t="n">
        <v>144</v>
      </c>
      <c r="C380" s="10" t="s">
        <v>1515</v>
      </c>
    </row>
    <row r="381" customFormat="false" ht="15" hidden="false" customHeight="false" outlineLevel="0" collapsed="false">
      <c r="A381" s="10" t="s">
        <v>2327</v>
      </c>
      <c r="B381" s="19" t="n">
        <v>143</v>
      </c>
      <c r="C381" s="10" t="s">
        <v>1811</v>
      </c>
    </row>
    <row r="382" customFormat="false" ht="15" hidden="false" customHeight="false" outlineLevel="0" collapsed="false">
      <c r="A382" s="10" t="s">
        <v>2328</v>
      </c>
      <c r="B382" s="19" t="n">
        <v>142</v>
      </c>
      <c r="C382" s="10" t="s">
        <v>1807</v>
      </c>
    </row>
    <row r="383" customFormat="false" ht="15" hidden="false" customHeight="false" outlineLevel="0" collapsed="false">
      <c r="A383" s="10" t="s">
        <v>2329</v>
      </c>
      <c r="B383" s="19" t="n">
        <v>142</v>
      </c>
      <c r="C383" s="10" t="s">
        <v>1811</v>
      </c>
    </row>
    <row r="384" customFormat="false" ht="15" hidden="false" customHeight="false" outlineLevel="0" collapsed="false">
      <c r="A384" s="10" t="s">
        <v>2330</v>
      </c>
      <c r="B384" s="19" t="n">
        <v>142</v>
      </c>
      <c r="C384" s="10" t="s">
        <v>1603</v>
      </c>
    </row>
    <row r="385" customFormat="false" ht="15" hidden="false" customHeight="false" outlineLevel="0" collapsed="false">
      <c r="A385" s="10" t="s">
        <v>2331</v>
      </c>
      <c r="B385" s="19" t="n">
        <v>142</v>
      </c>
      <c r="C385" s="10" t="s">
        <v>1569</v>
      </c>
    </row>
    <row r="386" customFormat="false" ht="15" hidden="false" customHeight="false" outlineLevel="0" collapsed="false">
      <c r="A386" s="10" t="s">
        <v>2332</v>
      </c>
      <c r="B386" s="19" t="n">
        <v>141</v>
      </c>
      <c r="C386" s="10" t="s">
        <v>1500</v>
      </c>
    </row>
    <row r="387" customFormat="false" ht="15" hidden="false" customHeight="false" outlineLevel="0" collapsed="false">
      <c r="A387" s="10" t="s">
        <v>2333</v>
      </c>
      <c r="B387" s="19" t="n">
        <v>141</v>
      </c>
      <c r="C387" s="10" t="s">
        <v>1811</v>
      </c>
    </row>
    <row r="388" customFormat="false" ht="15" hidden="false" customHeight="false" outlineLevel="0" collapsed="false">
      <c r="A388" s="10" t="s">
        <v>2334</v>
      </c>
      <c r="B388" s="19" t="n">
        <v>140</v>
      </c>
      <c r="C388" s="10" t="s">
        <v>1482</v>
      </c>
    </row>
    <row r="389" customFormat="false" ht="15" hidden="false" customHeight="false" outlineLevel="0" collapsed="false">
      <c r="A389" s="10" t="s">
        <v>2335</v>
      </c>
      <c r="B389" s="19" t="n">
        <v>140</v>
      </c>
      <c r="C389" s="10" t="s">
        <v>1557</v>
      </c>
    </row>
    <row r="390" customFormat="false" ht="15" hidden="false" customHeight="false" outlineLevel="0" collapsed="false">
      <c r="A390" s="10" t="s">
        <v>2336</v>
      </c>
      <c r="B390" s="19" t="n">
        <v>140</v>
      </c>
      <c r="C390" s="10" t="s">
        <v>1676</v>
      </c>
    </row>
    <row r="391" customFormat="false" ht="15" hidden="false" customHeight="false" outlineLevel="0" collapsed="false">
      <c r="A391" s="10" t="s">
        <v>2337</v>
      </c>
      <c r="B391" s="19" t="n">
        <v>139</v>
      </c>
      <c r="C391" s="10" t="s">
        <v>1515</v>
      </c>
    </row>
    <row r="392" customFormat="false" ht="15" hidden="false" customHeight="false" outlineLevel="0" collapsed="false">
      <c r="A392" s="10" t="s">
        <v>2338</v>
      </c>
      <c r="B392" s="19" t="n">
        <v>139</v>
      </c>
      <c r="C392" s="10" t="s">
        <v>1611</v>
      </c>
    </row>
    <row r="393" customFormat="false" ht="15" hidden="false" customHeight="false" outlineLevel="0" collapsed="false">
      <c r="A393" s="10" t="s">
        <v>2339</v>
      </c>
      <c r="B393" s="19" t="n">
        <v>138</v>
      </c>
      <c r="C393" s="10" t="s">
        <v>1699</v>
      </c>
    </row>
    <row r="394" customFormat="false" ht="15" hidden="false" customHeight="false" outlineLevel="0" collapsed="false">
      <c r="A394" s="10" t="s">
        <v>2340</v>
      </c>
      <c r="B394" s="19" t="n">
        <v>137</v>
      </c>
      <c r="C394" s="10" t="s">
        <v>1457</v>
      </c>
    </row>
    <row r="395" customFormat="false" ht="15" hidden="false" customHeight="false" outlineLevel="0" collapsed="false">
      <c r="A395" s="10" t="s">
        <v>2341</v>
      </c>
      <c r="B395" s="19" t="n">
        <v>137</v>
      </c>
      <c r="C395" s="10" t="s">
        <v>1515</v>
      </c>
    </row>
    <row r="396" customFormat="false" ht="15" hidden="false" customHeight="false" outlineLevel="0" collapsed="false">
      <c r="A396" s="10" t="s">
        <v>2342</v>
      </c>
      <c r="B396" s="19" t="n">
        <v>136</v>
      </c>
      <c r="C396" s="10" t="s">
        <v>1515</v>
      </c>
    </row>
    <row r="397" customFormat="false" ht="15" hidden="false" customHeight="false" outlineLevel="0" collapsed="false">
      <c r="A397" s="10" t="s">
        <v>2343</v>
      </c>
      <c r="B397" s="19" t="n">
        <v>136</v>
      </c>
      <c r="C397" s="10" t="s">
        <v>1536</v>
      </c>
    </row>
    <row r="398" customFormat="false" ht="15" hidden="false" customHeight="false" outlineLevel="0" collapsed="false">
      <c r="A398" s="10" t="s">
        <v>2344</v>
      </c>
      <c r="B398" s="19" t="n">
        <v>136</v>
      </c>
      <c r="C398" s="10" t="s">
        <v>1546</v>
      </c>
    </row>
    <row r="399" customFormat="false" ht="15" hidden="false" customHeight="false" outlineLevel="0" collapsed="false">
      <c r="A399" s="10" t="s">
        <v>2345</v>
      </c>
      <c r="B399" s="19" t="n">
        <v>135</v>
      </c>
      <c r="C399" s="10" t="s">
        <v>1443</v>
      </c>
    </row>
    <row r="400" customFormat="false" ht="15" hidden="false" customHeight="false" outlineLevel="0" collapsed="false">
      <c r="A400" s="10" t="s">
        <v>2346</v>
      </c>
      <c r="B400" s="19" t="n">
        <v>135</v>
      </c>
      <c r="C400" s="10" t="s">
        <v>1673</v>
      </c>
    </row>
    <row r="401" customFormat="false" ht="15" hidden="false" customHeight="false" outlineLevel="0" collapsed="false">
      <c r="A401" s="10" t="s">
        <v>2347</v>
      </c>
      <c r="B401" s="19" t="n">
        <v>135</v>
      </c>
      <c r="C401" s="10" t="s">
        <v>1694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4"/>
    <col collapsed="false" customWidth="true" hidden="false" outlineLevel="0" max="4" min="4" style="0" width="30"/>
  </cols>
  <sheetData>
    <row r="1" customFormat="false" ht="31.5" hidden="false" customHeight="true" outlineLevel="0" collapsed="false">
      <c r="A1" s="9" t="s">
        <v>1949</v>
      </c>
      <c r="B1" s="9" t="s">
        <v>1950</v>
      </c>
      <c r="C1" s="9" t="s">
        <v>2348</v>
      </c>
      <c r="D1" s="9" t="s">
        <v>2349</v>
      </c>
    </row>
    <row r="2" customFormat="false" ht="15" hidden="false" customHeight="false" outlineLevel="0" collapsed="false">
      <c r="A2" s="10" t="s">
        <v>2350</v>
      </c>
      <c r="B2" s="19" t="n">
        <v>2161535</v>
      </c>
      <c r="C2" s="19" t="n">
        <v>46</v>
      </c>
      <c r="D2" s="10" t="s">
        <v>2351</v>
      </c>
    </row>
    <row r="3" customFormat="false" ht="15" hidden="false" customHeight="false" outlineLevel="0" collapsed="false">
      <c r="A3" s="10" t="s">
        <v>2352</v>
      </c>
      <c r="B3" s="19" t="n">
        <v>1284212</v>
      </c>
      <c r="C3" s="19" t="n">
        <v>248</v>
      </c>
      <c r="D3" s="10" t="s">
        <v>2351</v>
      </c>
    </row>
    <row r="4" customFormat="false" ht="15" hidden="false" customHeight="false" outlineLevel="0" collapsed="false">
      <c r="A4" s="10" t="s">
        <v>2353</v>
      </c>
      <c r="B4" s="19" t="n">
        <v>890010</v>
      </c>
      <c r="C4" s="19" t="n">
        <v>38</v>
      </c>
      <c r="D4" s="10" t="s">
        <v>2351</v>
      </c>
    </row>
    <row r="5" customFormat="false" ht="15" hidden="false" customHeight="false" outlineLevel="0" collapsed="false">
      <c r="A5" s="10" t="s">
        <v>2354</v>
      </c>
      <c r="B5" s="19" t="n">
        <v>788389</v>
      </c>
      <c r="C5" s="19" t="n">
        <v>15</v>
      </c>
      <c r="D5" s="10" t="s">
        <v>1765</v>
      </c>
    </row>
    <row r="6" customFormat="false" ht="15" hidden="false" customHeight="false" outlineLevel="0" collapsed="false">
      <c r="A6" s="10" t="s">
        <v>2355</v>
      </c>
      <c r="B6" s="19" t="n">
        <v>507178</v>
      </c>
      <c r="C6" s="19" t="n">
        <v>18</v>
      </c>
      <c r="D6" s="10" t="s">
        <v>2351</v>
      </c>
    </row>
    <row r="7" customFormat="false" ht="15" hidden="false" customHeight="false" outlineLevel="0" collapsed="false">
      <c r="A7" s="10" t="s">
        <v>2356</v>
      </c>
      <c r="B7" s="19" t="n">
        <v>405465</v>
      </c>
      <c r="C7" s="19" t="n">
        <v>56</v>
      </c>
      <c r="D7" s="10" t="s">
        <v>2351</v>
      </c>
    </row>
    <row r="8" customFormat="false" ht="15" hidden="false" customHeight="false" outlineLevel="0" collapsed="false">
      <c r="A8" s="10" t="s">
        <v>2357</v>
      </c>
      <c r="B8" s="19" t="n">
        <v>374489</v>
      </c>
      <c r="C8" s="19" t="n">
        <v>124</v>
      </c>
      <c r="D8" s="10" t="s">
        <v>2358</v>
      </c>
    </row>
    <row r="9" customFormat="false" ht="15" hidden="false" customHeight="false" outlineLevel="0" collapsed="false">
      <c r="A9" s="10" t="s">
        <v>2359</v>
      </c>
      <c r="B9" s="19" t="n">
        <v>352532</v>
      </c>
      <c r="C9" s="19" t="n">
        <v>381</v>
      </c>
      <c r="D9" s="10" t="s">
        <v>2351</v>
      </c>
    </row>
    <row r="10" customFormat="false" ht="15" hidden="false" customHeight="false" outlineLevel="0" collapsed="false">
      <c r="A10" s="10" t="s">
        <v>2360</v>
      </c>
      <c r="B10" s="19" t="n">
        <v>272110</v>
      </c>
      <c r="C10" s="19" t="n">
        <v>62</v>
      </c>
      <c r="D10" s="10" t="s">
        <v>2351</v>
      </c>
    </row>
    <row r="11" customFormat="false" ht="15" hidden="false" customHeight="false" outlineLevel="0" collapsed="false">
      <c r="A11" s="10" t="s">
        <v>2361</v>
      </c>
      <c r="B11" s="19" t="n">
        <v>199884</v>
      </c>
      <c r="C11" s="19" t="n">
        <v>28</v>
      </c>
      <c r="D11" s="10" t="s">
        <v>2351</v>
      </c>
    </row>
    <row r="12" customFormat="false" ht="15" hidden="false" customHeight="false" outlineLevel="0" collapsed="false">
      <c r="A12" s="10" t="s">
        <v>2362</v>
      </c>
      <c r="B12" s="19" t="n">
        <v>139825</v>
      </c>
      <c r="C12" s="19" t="n">
        <v>4</v>
      </c>
      <c r="D12" s="10" t="s">
        <v>2358</v>
      </c>
    </row>
    <row r="13" customFormat="false" ht="15" hidden="false" customHeight="false" outlineLevel="0" collapsed="false">
      <c r="A13" s="10" t="s">
        <v>2363</v>
      </c>
      <c r="B13" s="19" t="n">
        <v>111978</v>
      </c>
      <c r="C13" s="19" t="n">
        <v>80</v>
      </c>
      <c r="D13" s="10" t="s">
        <v>1705</v>
      </c>
    </row>
    <row r="14" customFormat="false" ht="15" hidden="false" customHeight="false" outlineLevel="0" collapsed="false">
      <c r="A14" s="10" t="s">
        <v>2364</v>
      </c>
      <c r="B14" s="19" t="n">
        <v>96565</v>
      </c>
      <c r="C14" s="19" t="n">
        <v>24</v>
      </c>
      <c r="D14" s="10" t="s">
        <v>2351</v>
      </c>
    </row>
    <row r="15" customFormat="false" ht="15" hidden="false" customHeight="false" outlineLevel="0" collapsed="false">
      <c r="A15" s="10" t="s">
        <v>2365</v>
      </c>
      <c r="B15" s="19" t="n">
        <v>92564</v>
      </c>
      <c r="C15" s="19" t="n">
        <v>10</v>
      </c>
      <c r="D15" s="10" t="s">
        <v>2358</v>
      </c>
    </row>
    <row r="16" customFormat="false" ht="15" hidden="false" customHeight="false" outlineLevel="0" collapsed="false">
      <c r="A16" s="10" t="s">
        <v>2366</v>
      </c>
      <c r="B16" s="19" t="n">
        <v>90433</v>
      </c>
      <c r="C16" s="19" t="n">
        <v>9</v>
      </c>
      <c r="D16" s="10" t="s">
        <v>2358</v>
      </c>
    </row>
    <row r="17" customFormat="false" ht="15" hidden="false" customHeight="false" outlineLevel="0" collapsed="false">
      <c r="A17" s="10" t="s">
        <v>2367</v>
      </c>
      <c r="B17" s="19" t="n">
        <v>82415</v>
      </c>
      <c r="C17" s="19" t="n">
        <v>30</v>
      </c>
      <c r="D17" s="10" t="s">
        <v>2351</v>
      </c>
    </row>
    <row r="18" customFormat="false" ht="15" hidden="false" customHeight="false" outlineLevel="0" collapsed="false">
      <c r="A18" s="10" t="s">
        <v>2368</v>
      </c>
      <c r="B18" s="19" t="n">
        <v>65312</v>
      </c>
      <c r="C18" s="19" t="n">
        <v>2</v>
      </c>
      <c r="D18" s="10" t="s">
        <v>2351</v>
      </c>
    </row>
    <row r="19" customFormat="false" ht="15" hidden="false" customHeight="false" outlineLevel="0" collapsed="false">
      <c r="A19" s="10" t="s">
        <v>2369</v>
      </c>
      <c r="B19" s="19" t="n">
        <v>60304</v>
      </c>
      <c r="C19" s="19" t="n">
        <v>83</v>
      </c>
      <c r="D19" s="10" t="s">
        <v>2351</v>
      </c>
    </row>
    <row r="20" customFormat="false" ht="15" hidden="false" customHeight="false" outlineLevel="0" collapsed="false">
      <c r="A20" s="10" t="s">
        <v>2370</v>
      </c>
      <c r="B20" s="19" t="n">
        <v>59049</v>
      </c>
      <c r="C20" s="19" t="n">
        <v>16</v>
      </c>
      <c r="D20" s="10" t="s">
        <v>2358</v>
      </c>
    </row>
    <row r="21" customFormat="false" ht="15" hidden="false" customHeight="false" outlineLevel="0" collapsed="false">
      <c r="A21" s="10" t="s">
        <v>2371</v>
      </c>
      <c r="B21" s="19" t="n">
        <v>58247</v>
      </c>
      <c r="C21" s="19" t="n">
        <v>9</v>
      </c>
      <c r="D21" s="10" t="s">
        <v>2358</v>
      </c>
    </row>
    <row r="22" customFormat="false" ht="15" hidden="false" customHeight="false" outlineLevel="0" collapsed="false">
      <c r="A22" s="10" t="s">
        <v>2372</v>
      </c>
      <c r="B22" s="19" t="n">
        <v>56257</v>
      </c>
      <c r="C22" s="19" t="n">
        <v>9</v>
      </c>
      <c r="D22" s="10" t="s">
        <v>2351</v>
      </c>
    </row>
    <row r="23" customFormat="false" ht="15" hidden="false" customHeight="false" outlineLevel="0" collapsed="false">
      <c r="A23" s="10" t="s">
        <v>1631</v>
      </c>
      <c r="B23" s="19" t="n">
        <v>54773</v>
      </c>
      <c r="C23" s="19" t="n">
        <v>32</v>
      </c>
      <c r="D23" s="10" t="s">
        <v>1631</v>
      </c>
    </row>
    <row r="24" customFormat="false" ht="15" hidden="false" customHeight="false" outlineLevel="0" collapsed="false">
      <c r="A24" s="10" t="s">
        <v>2373</v>
      </c>
      <c r="B24" s="19" t="n">
        <v>52548</v>
      </c>
      <c r="C24" s="19" t="n">
        <v>12</v>
      </c>
      <c r="D24" s="10" t="s">
        <v>2358</v>
      </c>
    </row>
    <row r="25" customFormat="false" ht="15" hidden="false" customHeight="false" outlineLevel="0" collapsed="false">
      <c r="A25" s="10" t="s">
        <v>2374</v>
      </c>
      <c r="B25" s="19" t="n">
        <v>52433</v>
      </c>
      <c r="C25" s="19" t="n">
        <v>13</v>
      </c>
      <c r="D25" s="10" t="s">
        <v>2351</v>
      </c>
    </row>
    <row r="26" customFormat="false" ht="15" hidden="false" customHeight="false" outlineLevel="0" collapsed="false">
      <c r="A26" s="10" t="s">
        <v>2375</v>
      </c>
      <c r="B26" s="19" t="n">
        <v>50331</v>
      </c>
      <c r="C26" s="19" t="n">
        <v>5</v>
      </c>
      <c r="D26" s="10" t="s">
        <v>2358</v>
      </c>
    </row>
    <row r="27" customFormat="false" ht="15" hidden="false" customHeight="false" outlineLevel="0" collapsed="false">
      <c r="A27" s="10" t="s">
        <v>2376</v>
      </c>
      <c r="B27" s="19" t="n">
        <v>45103</v>
      </c>
      <c r="C27" s="19" t="n">
        <v>3</v>
      </c>
      <c r="D27" s="10" t="s">
        <v>2351</v>
      </c>
    </row>
    <row r="28" customFormat="false" ht="15" hidden="false" customHeight="false" outlineLevel="0" collapsed="false">
      <c r="A28" s="10" t="s">
        <v>2377</v>
      </c>
      <c r="B28" s="19" t="n">
        <v>43643</v>
      </c>
      <c r="C28" s="19" t="n">
        <v>61</v>
      </c>
      <c r="D28" s="10" t="s">
        <v>2351</v>
      </c>
    </row>
    <row r="29" customFormat="false" ht="15" hidden="false" customHeight="false" outlineLevel="0" collapsed="false">
      <c r="A29" s="10" t="s">
        <v>2378</v>
      </c>
      <c r="B29" s="19" t="n">
        <v>43334</v>
      </c>
      <c r="C29" s="19" t="n">
        <v>6</v>
      </c>
      <c r="D29" s="10" t="s">
        <v>1705</v>
      </c>
    </row>
    <row r="30" customFormat="false" ht="15" hidden="false" customHeight="false" outlineLevel="0" collapsed="false">
      <c r="A30" s="10" t="s">
        <v>2379</v>
      </c>
      <c r="B30" s="19" t="n">
        <v>40462</v>
      </c>
      <c r="C30" s="19" t="n">
        <v>62</v>
      </c>
      <c r="D30" s="10" t="s">
        <v>2351</v>
      </c>
    </row>
    <row r="31" customFormat="false" ht="15" hidden="false" customHeight="false" outlineLevel="0" collapsed="false">
      <c r="A31" s="10" t="s">
        <v>2380</v>
      </c>
      <c r="B31" s="19" t="n">
        <v>40089</v>
      </c>
      <c r="C31" s="19" t="n">
        <v>0</v>
      </c>
      <c r="D31" s="10" t="s">
        <v>1548</v>
      </c>
    </row>
    <row r="32" customFormat="false" ht="15" hidden="false" customHeight="false" outlineLevel="0" collapsed="false">
      <c r="A32" s="10" t="s">
        <v>2381</v>
      </c>
      <c r="B32" s="19" t="n">
        <v>38921</v>
      </c>
      <c r="C32" s="19" t="n">
        <v>3</v>
      </c>
      <c r="D32" s="10" t="s">
        <v>1673</v>
      </c>
    </row>
    <row r="33" customFormat="false" ht="15" hidden="false" customHeight="false" outlineLevel="0" collapsed="false">
      <c r="A33" s="10" t="s">
        <v>2382</v>
      </c>
      <c r="B33" s="19" t="n">
        <v>38545</v>
      </c>
      <c r="C33" s="19" t="n">
        <v>8</v>
      </c>
      <c r="D33" s="10" t="s">
        <v>1603</v>
      </c>
    </row>
    <row r="34" customFormat="false" ht="15" hidden="false" customHeight="false" outlineLevel="0" collapsed="false">
      <c r="A34" s="10" t="s">
        <v>2383</v>
      </c>
      <c r="B34" s="19" t="n">
        <v>38187</v>
      </c>
      <c r="C34" s="19" t="n">
        <v>0</v>
      </c>
      <c r="D34" s="10" t="s">
        <v>2351</v>
      </c>
    </row>
    <row r="35" customFormat="false" ht="15" hidden="false" customHeight="false" outlineLevel="0" collapsed="false">
      <c r="A35" s="10" t="s">
        <v>2384</v>
      </c>
      <c r="B35" s="19" t="n">
        <v>35779</v>
      </c>
      <c r="C35" s="19" t="n">
        <v>119</v>
      </c>
      <c r="D35" s="10" t="s">
        <v>2351</v>
      </c>
    </row>
    <row r="36" customFormat="false" ht="15" hidden="false" customHeight="false" outlineLevel="0" collapsed="false">
      <c r="A36" s="10" t="s">
        <v>2385</v>
      </c>
      <c r="B36" s="19" t="n">
        <v>35055</v>
      </c>
      <c r="C36" s="19" t="n">
        <v>182</v>
      </c>
      <c r="D36" s="10" t="s">
        <v>1705</v>
      </c>
    </row>
    <row r="37" customFormat="false" ht="15" hidden="false" customHeight="false" outlineLevel="0" collapsed="false">
      <c r="A37" s="10" t="s">
        <v>2386</v>
      </c>
      <c r="B37" s="19" t="n">
        <v>33880</v>
      </c>
      <c r="C37" s="19" t="n">
        <v>41</v>
      </c>
      <c r="D37" s="10" t="s">
        <v>2351</v>
      </c>
    </row>
    <row r="38" customFormat="false" ht="15" hidden="false" customHeight="false" outlineLevel="0" collapsed="false">
      <c r="A38" s="10" t="s">
        <v>2387</v>
      </c>
      <c r="B38" s="19" t="n">
        <v>33512</v>
      </c>
      <c r="C38" s="19" t="n">
        <v>6</v>
      </c>
      <c r="D38" s="10" t="s">
        <v>2351</v>
      </c>
    </row>
    <row r="39" customFormat="false" ht="15" hidden="false" customHeight="false" outlineLevel="0" collapsed="false">
      <c r="A39" s="10" t="s">
        <v>1591</v>
      </c>
      <c r="B39" s="19" t="n">
        <v>32379</v>
      </c>
      <c r="C39" s="19" t="n">
        <v>20</v>
      </c>
      <c r="D39" s="10" t="s">
        <v>1591</v>
      </c>
    </row>
    <row r="40" customFormat="false" ht="15" hidden="false" customHeight="false" outlineLevel="0" collapsed="false">
      <c r="A40" s="10" t="s">
        <v>2388</v>
      </c>
      <c r="B40" s="19" t="n">
        <v>31198</v>
      </c>
      <c r="C40" s="19" t="n">
        <v>34</v>
      </c>
      <c r="D40" s="10" t="s">
        <v>1831</v>
      </c>
    </row>
    <row r="41" customFormat="false" ht="15" hidden="false" customHeight="false" outlineLevel="0" collapsed="false">
      <c r="A41" s="10" t="s">
        <v>2389</v>
      </c>
      <c r="B41" s="19" t="n">
        <v>30624</v>
      </c>
      <c r="C41" s="19" t="n">
        <v>100</v>
      </c>
      <c r="D41" s="10" t="s">
        <v>2351</v>
      </c>
    </row>
    <row r="42" customFormat="false" ht="15" hidden="false" customHeight="false" outlineLevel="0" collapsed="false">
      <c r="A42" s="10" t="s">
        <v>2390</v>
      </c>
      <c r="B42" s="19" t="n">
        <v>28184</v>
      </c>
      <c r="C42" s="19" t="n">
        <v>4</v>
      </c>
      <c r="D42" s="10" t="s">
        <v>2351</v>
      </c>
    </row>
    <row r="43" customFormat="false" ht="15" hidden="false" customHeight="false" outlineLevel="0" collapsed="false">
      <c r="A43" s="10" t="s">
        <v>2391</v>
      </c>
      <c r="B43" s="19" t="n">
        <v>27433</v>
      </c>
      <c r="C43" s="19" t="n">
        <v>101</v>
      </c>
      <c r="D43" s="10" t="s">
        <v>1705</v>
      </c>
    </row>
    <row r="44" customFormat="false" ht="15" hidden="false" customHeight="false" outlineLevel="0" collapsed="false">
      <c r="A44" s="10" t="s">
        <v>2392</v>
      </c>
      <c r="B44" s="19" t="n">
        <v>26624</v>
      </c>
      <c r="C44" s="19" t="n">
        <v>83</v>
      </c>
      <c r="D44" s="10" t="s">
        <v>2351</v>
      </c>
    </row>
    <row r="45" customFormat="false" ht="15" hidden="false" customHeight="false" outlineLevel="0" collapsed="false">
      <c r="A45" s="10" t="s">
        <v>2393</v>
      </c>
      <c r="B45" s="19" t="n">
        <v>24860</v>
      </c>
      <c r="C45" s="19" t="n">
        <v>9</v>
      </c>
      <c r="D45" s="10" t="s">
        <v>2351</v>
      </c>
    </row>
    <row r="46" customFormat="false" ht="15" hidden="false" customHeight="false" outlineLevel="0" collapsed="false">
      <c r="A46" s="10" t="s">
        <v>2394</v>
      </c>
      <c r="B46" s="19" t="n">
        <v>24748</v>
      </c>
      <c r="C46" s="19" t="n">
        <v>268</v>
      </c>
      <c r="D46" s="10" t="s">
        <v>2358</v>
      </c>
    </row>
    <row r="47" customFormat="false" ht="15" hidden="false" customHeight="false" outlineLevel="0" collapsed="false">
      <c r="A47" s="10" t="s">
        <v>2395</v>
      </c>
      <c r="B47" s="19" t="n">
        <v>24741</v>
      </c>
      <c r="C47" s="19" t="n">
        <v>48</v>
      </c>
      <c r="D47" s="10" t="s">
        <v>1705</v>
      </c>
    </row>
    <row r="48" customFormat="false" ht="15" hidden="false" customHeight="false" outlineLevel="0" collapsed="false">
      <c r="A48" s="10" t="s">
        <v>2396</v>
      </c>
      <c r="B48" s="19" t="n">
        <v>24740</v>
      </c>
      <c r="C48" s="19" t="n">
        <v>1</v>
      </c>
      <c r="D48" s="10" t="s">
        <v>1705</v>
      </c>
    </row>
    <row r="49" customFormat="false" ht="15" hidden="false" customHeight="false" outlineLevel="0" collapsed="false">
      <c r="A49" s="10" t="s">
        <v>2397</v>
      </c>
      <c r="B49" s="19" t="n">
        <v>24145</v>
      </c>
      <c r="C49" s="19" t="n">
        <v>11</v>
      </c>
      <c r="D49" s="10" t="s">
        <v>2358</v>
      </c>
    </row>
    <row r="50" customFormat="false" ht="15" hidden="false" customHeight="false" outlineLevel="0" collapsed="false">
      <c r="A50" s="10" t="s">
        <v>2398</v>
      </c>
      <c r="B50" s="19" t="n">
        <v>23460</v>
      </c>
      <c r="C50" s="19" t="n">
        <v>15</v>
      </c>
      <c r="D50" s="10" t="s">
        <v>2358</v>
      </c>
    </row>
    <row r="51" customFormat="false" ht="15" hidden="false" customHeight="false" outlineLevel="0" collapsed="false">
      <c r="A51" s="10" t="s">
        <v>2399</v>
      </c>
      <c r="B51" s="19" t="n">
        <v>22488</v>
      </c>
      <c r="C51" s="19" t="n">
        <v>60</v>
      </c>
      <c r="D51" s="10" t="s">
        <v>2351</v>
      </c>
    </row>
    <row r="52" customFormat="false" ht="15" hidden="false" customHeight="false" outlineLevel="0" collapsed="false">
      <c r="A52" s="10" t="s">
        <v>2400</v>
      </c>
      <c r="B52" s="19" t="n">
        <v>22168</v>
      </c>
      <c r="C52" s="19" t="n">
        <v>8</v>
      </c>
      <c r="D52" s="10" t="s">
        <v>2351</v>
      </c>
    </row>
    <row r="53" customFormat="false" ht="15" hidden="false" customHeight="false" outlineLevel="0" collapsed="false">
      <c r="A53" s="10" t="s">
        <v>2401</v>
      </c>
      <c r="B53" s="19" t="n">
        <v>21451</v>
      </c>
      <c r="C53" s="19" t="n">
        <v>12</v>
      </c>
      <c r="D53" s="10" t="s">
        <v>1791</v>
      </c>
    </row>
    <row r="54" customFormat="false" ht="15" hidden="false" customHeight="false" outlineLevel="0" collapsed="false">
      <c r="A54" s="10" t="s">
        <v>2402</v>
      </c>
      <c r="B54" s="19" t="n">
        <v>21260</v>
      </c>
      <c r="C54" s="19" t="n">
        <v>59</v>
      </c>
      <c r="D54" s="10" t="s">
        <v>1705</v>
      </c>
    </row>
    <row r="55" customFormat="false" ht="15" hidden="false" customHeight="false" outlineLevel="0" collapsed="false">
      <c r="A55" s="10" t="s">
        <v>2403</v>
      </c>
      <c r="B55" s="19" t="n">
        <v>20449</v>
      </c>
      <c r="C55" s="19" t="n">
        <v>36</v>
      </c>
      <c r="D55" s="10" t="s">
        <v>1729</v>
      </c>
    </row>
    <row r="56" customFormat="false" ht="15" hidden="false" customHeight="false" outlineLevel="0" collapsed="false">
      <c r="A56" s="10" t="s">
        <v>2404</v>
      </c>
      <c r="B56" s="19" t="n">
        <v>20339</v>
      </c>
      <c r="C56" s="19" t="n">
        <v>2</v>
      </c>
      <c r="D56" s="10" t="s">
        <v>2358</v>
      </c>
    </row>
    <row r="57" customFormat="false" ht="15" hidden="false" customHeight="false" outlineLevel="0" collapsed="false">
      <c r="A57" s="10" t="s">
        <v>2405</v>
      </c>
      <c r="B57" s="19" t="n">
        <v>20287</v>
      </c>
      <c r="C57" s="19" t="n">
        <v>9</v>
      </c>
      <c r="D57" s="10" t="s">
        <v>2358</v>
      </c>
    </row>
    <row r="58" customFormat="false" ht="15" hidden="false" customHeight="false" outlineLevel="0" collapsed="false">
      <c r="A58" s="10" t="s">
        <v>2406</v>
      </c>
      <c r="B58" s="19" t="n">
        <v>18254</v>
      </c>
      <c r="C58" s="19" t="n">
        <v>4</v>
      </c>
      <c r="D58" s="10" t="s">
        <v>1629</v>
      </c>
    </row>
    <row r="59" customFormat="false" ht="15" hidden="false" customHeight="false" outlineLevel="0" collapsed="false">
      <c r="A59" s="10" t="s">
        <v>2407</v>
      </c>
      <c r="B59" s="19" t="n">
        <v>18054</v>
      </c>
      <c r="C59" s="19" t="n">
        <v>0</v>
      </c>
      <c r="D59" s="10" t="s">
        <v>2358</v>
      </c>
    </row>
    <row r="60" customFormat="false" ht="15" hidden="false" customHeight="false" outlineLevel="0" collapsed="false">
      <c r="A60" s="10" t="s">
        <v>2408</v>
      </c>
      <c r="B60" s="19" t="n">
        <v>17699</v>
      </c>
      <c r="C60" s="19" t="n">
        <v>1</v>
      </c>
      <c r="D60" s="10" t="s">
        <v>2351</v>
      </c>
    </row>
    <row r="61" customFormat="false" ht="15" hidden="false" customHeight="false" outlineLevel="0" collapsed="false">
      <c r="A61" s="10" t="s">
        <v>2409</v>
      </c>
      <c r="B61" s="19" t="n">
        <v>17485</v>
      </c>
      <c r="C61" s="19" t="n">
        <v>126</v>
      </c>
      <c r="D61" s="10" t="s">
        <v>1705</v>
      </c>
    </row>
    <row r="62" customFormat="false" ht="15" hidden="false" customHeight="false" outlineLevel="0" collapsed="false">
      <c r="A62" s="10" t="s">
        <v>2410</v>
      </c>
      <c r="B62" s="19" t="n">
        <v>17117</v>
      </c>
      <c r="C62" s="19" t="n">
        <v>14</v>
      </c>
      <c r="D62" s="10" t="s">
        <v>2358</v>
      </c>
    </row>
    <row r="63" customFormat="false" ht="15" hidden="false" customHeight="false" outlineLevel="0" collapsed="false">
      <c r="A63" s="10" t="s">
        <v>2411</v>
      </c>
      <c r="B63" s="19" t="n">
        <v>16243</v>
      </c>
      <c r="C63" s="19" t="n">
        <v>66</v>
      </c>
      <c r="D63" s="10" t="s">
        <v>1705</v>
      </c>
    </row>
    <row r="64" customFormat="false" ht="15" hidden="false" customHeight="false" outlineLevel="0" collapsed="false">
      <c r="A64" s="10" t="s">
        <v>2412</v>
      </c>
      <c r="B64" s="19" t="n">
        <v>15714</v>
      </c>
      <c r="C64" s="19" t="n">
        <v>10</v>
      </c>
      <c r="D64" s="10" t="s">
        <v>1603</v>
      </c>
    </row>
    <row r="65" customFormat="false" ht="15" hidden="false" customHeight="false" outlineLevel="0" collapsed="false">
      <c r="A65" s="10" t="s">
        <v>2413</v>
      </c>
      <c r="B65" s="19" t="n">
        <v>15547</v>
      </c>
      <c r="C65" s="19" t="n">
        <v>53</v>
      </c>
      <c r="D65" s="10" t="s">
        <v>1705</v>
      </c>
    </row>
    <row r="66" customFormat="false" ht="15" hidden="false" customHeight="false" outlineLevel="0" collapsed="false">
      <c r="A66" s="10" t="s">
        <v>2414</v>
      </c>
      <c r="B66" s="19" t="n">
        <v>15398</v>
      </c>
      <c r="C66" s="19" t="n">
        <v>10</v>
      </c>
      <c r="D66" s="10" t="s">
        <v>1729</v>
      </c>
    </row>
    <row r="67" customFormat="false" ht="15" hidden="false" customHeight="false" outlineLevel="0" collapsed="false">
      <c r="A67" s="10" t="s">
        <v>2415</v>
      </c>
      <c r="B67" s="19" t="n">
        <v>13769</v>
      </c>
      <c r="C67" s="19" t="n">
        <v>0</v>
      </c>
      <c r="D67" s="10" t="s">
        <v>2351</v>
      </c>
    </row>
    <row r="68" customFormat="false" ht="15" hidden="false" customHeight="false" outlineLevel="0" collapsed="false">
      <c r="A68" s="10" t="s">
        <v>2416</v>
      </c>
      <c r="B68" s="19" t="n">
        <v>13762</v>
      </c>
      <c r="C68" s="19" t="n">
        <v>30</v>
      </c>
      <c r="D68" s="10" t="s">
        <v>2358</v>
      </c>
    </row>
    <row r="69" customFormat="false" ht="15" hidden="false" customHeight="false" outlineLevel="0" collapsed="false">
      <c r="A69" s="10" t="s">
        <v>2417</v>
      </c>
      <c r="B69" s="19" t="n">
        <v>13597</v>
      </c>
      <c r="C69" s="19" t="n">
        <v>5</v>
      </c>
      <c r="D69" s="10" t="s">
        <v>2358</v>
      </c>
    </row>
    <row r="70" customFormat="false" ht="15" hidden="false" customHeight="false" outlineLevel="0" collapsed="false">
      <c r="A70" s="10" t="s">
        <v>2418</v>
      </c>
      <c r="B70" s="19" t="n">
        <v>13086</v>
      </c>
      <c r="C70" s="19" t="n">
        <v>0</v>
      </c>
      <c r="D70" s="10" t="s">
        <v>1546</v>
      </c>
    </row>
    <row r="71" customFormat="false" ht="15" hidden="false" customHeight="false" outlineLevel="0" collapsed="false">
      <c r="A71" s="10" t="s">
        <v>2419</v>
      </c>
      <c r="B71" s="19" t="n">
        <v>13005</v>
      </c>
      <c r="C71" s="19" t="n">
        <v>13</v>
      </c>
      <c r="D71" s="10" t="s">
        <v>2351</v>
      </c>
    </row>
    <row r="72" customFormat="false" ht="15" hidden="false" customHeight="false" outlineLevel="0" collapsed="false">
      <c r="A72" s="10" t="s">
        <v>2420</v>
      </c>
      <c r="B72" s="19" t="n">
        <v>12179</v>
      </c>
      <c r="C72" s="19" t="n">
        <v>6</v>
      </c>
      <c r="D72" s="10" t="s">
        <v>2351</v>
      </c>
    </row>
    <row r="73" customFormat="false" ht="15" hidden="false" customHeight="false" outlineLevel="0" collapsed="false">
      <c r="A73" s="10" t="s">
        <v>2421</v>
      </c>
      <c r="B73" s="19" t="n">
        <v>11948</v>
      </c>
      <c r="C73" s="19" t="n">
        <v>3</v>
      </c>
      <c r="D73" s="10" t="s">
        <v>1705</v>
      </c>
    </row>
    <row r="74" customFormat="false" ht="15" hidden="false" customHeight="false" outlineLevel="0" collapsed="false">
      <c r="A74" s="10" t="s">
        <v>2422</v>
      </c>
      <c r="B74" s="19" t="n">
        <v>11658</v>
      </c>
      <c r="C74" s="19" t="n">
        <v>5</v>
      </c>
      <c r="D74" s="10" t="s">
        <v>1795</v>
      </c>
    </row>
    <row r="75" customFormat="false" ht="15" hidden="false" customHeight="false" outlineLevel="0" collapsed="false">
      <c r="A75" s="10" t="s">
        <v>2423</v>
      </c>
      <c r="B75" s="19" t="n">
        <v>11621</v>
      </c>
      <c r="C75" s="19" t="n">
        <v>26</v>
      </c>
      <c r="D75" s="10" t="s">
        <v>2351</v>
      </c>
    </row>
    <row r="76" customFormat="false" ht="15" hidden="false" customHeight="false" outlineLevel="0" collapsed="false">
      <c r="A76" s="10" t="s">
        <v>1852</v>
      </c>
      <c r="B76" s="19" t="n">
        <v>11491</v>
      </c>
      <c r="C76" s="19" t="n">
        <v>3</v>
      </c>
      <c r="D76" s="10" t="s">
        <v>1852</v>
      </c>
    </row>
    <row r="77" customFormat="false" ht="15" hidden="false" customHeight="false" outlineLevel="0" collapsed="false">
      <c r="A77" s="10" t="s">
        <v>2424</v>
      </c>
      <c r="B77" s="19" t="n">
        <v>11309</v>
      </c>
      <c r="C77" s="19" t="n">
        <v>2</v>
      </c>
      <c r="D77" s="10" t="s">
        <v>1546</v>
      </c>
    </row>
    <row r="78" customFormat="false" ht="15" hidden="false" customHeight="false" outlineLevel="0" collapsed="false">
      <c r="A78" s="10" t="s">
        <v>2425</v>
      </c>
      <c r="B78" s="19" t="n">
        <v>10967</v>
      </c>
      <c r="C78" s="19" t="n">
        <v>116</v>
      </c>
      <c r="D78" s="10" t="s">
        <v>2351</v>
      </c>
    </row>
    <row r="79" customFormat="false" ht="15" hidden="false" customHeight="false" outlineLevel="0" collapsed="false">
      <c r="A79" s="10" t="s">
        <v>2426</v>
      </c>
      <c r="B79" s="19" t="n">
        <v>10868</v>
      </c>
      <c r="C79" s="19" t="n">
        <v>35</v>
      </c>
      <c r="D79" s="10" t="s">
        <v>2358</v>
      </c>
    </row>
    <row r="80" customFormat="false" ht="15" hidden="false" customHeight="false" outlineLevel="0" collapsed="false">
      <c r="A80" s="10" t="s">
        <v>2427</v>
      </c>
      <c r="B80" s="19" t="n">
        <v>10784</v>
      </c>
      <c r="C80" s="19" t="n">
        <v>5</v>
      </c>
      <c r="D80" s="10" t="s">
        <v>2358</v>
      </c>
    </row>
    <row r="81" customFormat="false" ht="15" hidden="false" customHeight="false" outlineLevel="0" collapsed="false">
      <c r="A81" s="10" t="s">
        <v>2428</v>
      </c>
      <c r="B81" s="19" t="n">
        <v>10462</v>
      </c>
      <c r="C81" s="19" t="n">
        <v>7</v>
      </c>
      <c r="D81" s="10" t="s">
        <v>2358</v>
      </c>
    </row>
    <row r="82" customFormat="false" ht="15" hidden="false" customHeight="false" outlineLevel="0" collapsed="false">
      <c r="A82" s="10" t="s">
        <v>2429</v>
      </c>
      <c r="B82" s="19" t="n">
        <v>10394</v>
      </c>
      <c r="C82" s="19" t="n">
        <v>81</v>
      </c>
      <c r="D82" s="10" t="s">
        <v>1705</v>
      </c>
    </row>
    <row r="83" customFormat="false" ht="15" hidden="false" customHeight="false" outlineLevel="0" collapsed="false">
      <c r="A83" s="10" t="s">
        <v>2430</v>
      </c>
      <c r="B83" s="19" t="n">
        <v>9582</v>
      </c>
      <c r="C83" s="19" t="n">
        <v>77</v>
      </c>
      <c r="D83" s="10" t="s">
        <v>1603</v>
      </c>
    </row>
    <row r="84" customFormat="false" ht="15" hidden="false" customHeight="false" outlineLevel="0" collapsed="false">
      <c r="A84" s="10" t="s">
        <v>2431</v>
      </c>
      <c r="B84" s="19" t="n">
        <v>9303</v>
      </c>
      <c r="C84" s="19" t="n">
        <v>0</v>
      </c>
      <c r="D84" s="10" t="s">
        <v>1548</v>
      </c>
    </row>
    <row r="85" customFormat="false" ht="15" hidden="false" customHeight="false" outlineLevel="0" collapsed="false">
      <c r="A85" s="10" t="s">
        <v>2432</v>
      </c>
      <c r="B85" s="19" t="n">
        <v>9291</v>
      </c>
      <c r="C85" s="19" t="n">
        <v>10</v>
      </c>
      <c r="D85" s="10" t="s">
        <v>2351</v>
      </c>
    </row>
    <row r="86" customFormat="false" ht="15" hidden="false" customHeight="false" outlineLevel="0" collapsed="false">
      <c r="A86" s="10" t="s">
        <v>2433</v>
      </c>
      <c r="B86" s="19" t="n">
        <v>9227</v>
      </c>
      <c r="C86" s="19" t="n">
        <v>12</v>
      </c>
      <c r="D86" s="10" t="s">
        <v>2358</v>
      </c>
    </row>
    <row r="87" customFormat="false" ht="15" hidden="false" customHeight="false" outlineLevel="0" collapsed="false">
      <c r="A87" s="10" t="s">
        <v>2434</v>
      </c>
      <c r="B87" s="19" t="n">
        <v>9151</v>
      </c>
      <c r="C87" s="19" t="n">
        <v>29</v>
      </c>
      <c r="D87" s="10" t="s">
        <v>1795</v>
      </c>
    </row>
    <row r="88" customFormat="false" ht="15" hidden="false" customHeight="false" outlineLevel="0" collapsed="false">
      <c r="A88" s="10" t="s">
        <v>2435</v>
      </c>
      <c r="B88" s="19" t="n">
        <v>9038</v>
      </c>
      <c r="C88" s="19" t="n">
        <v>9</v>
      </c>
      <c r="D88" s="10" t="s">
        <v>2351</v>
      </c>
    </row>
    <row r="89" customFormat="false" ht="15" hidden="false" customHeight="false" outlineLevel="0" collapsed="false">
      <c r="A89" s="10" t="s">
        <v>2436</v>
      </c>
      <c r="B89" s="19" t="n">
        <v>9015</v>
      </c>
      <c r="C89" s="19" t="n">
        <v>13</v>
      </c>
      <c r="D89" s="10" t="s">
        <v>2351</v>
      </c>
    </row>
    <row r="90" customFormat="false" ht="15" hidden="false" customHeight="false" outlineLevel="0" collapsed="false">
      <c r="A90" s="10" t="s">
        <v>2437</v>
      </c>
      <c r="B90" s="19" t="n">
        <v>8856</v>
      </c>
      <c r="C90" s="19" t="n">
        <v>48</v>
      </c>
      <c r="D90" s="10" t="s">
        <v>1729</v>
      </c>
    </row>
    <row r="91" customFormat="false" ht="15" hidden="false" customHeight="false" outlineLevel="0" collapsed="false">
      <c r="A91" s="10" t="s">
        <v>2438</v>
      </c>
      <c r="B91" s="19" t="n">
        <v>8768</v>
      </c>
      <c r="C91" s="19" t="n">
        <v>9</v>
      </c>
      <c r="D91" s="10" t="s">
        <v>2351</v>
      </c>
    </row>
    <row r="92" customFormat="false" ht="15" hidden="false" customHeight="false" outlineLevel="0" collapsed="false">
      <c r="A92" s="10" t="s">
        <v>2439</v>
      </c>
      <c r="B92" s="19" t="n">
        <v>8697</v>
      </c>
      <c r="C92" s="19" t="n">
        <v>52</v>
      </c>
      <c r="D92" s="10" t="s">
        <v>2351</v>
      </c>
    </row>
    <row r="93" customFormat="false" ht="15" hidden="false" customHeight="false" outlineLevel="0" collapsed="false">
      <c r="A93" s="10" t="s">
        <v>2440</v>
      </c>
      <c r="B93" s="19" t="n">
        <v>8596</v>
      </c>
      <c r="C93" s="19" t="n">
        <v>9</v>
      </c>
      <c r="D93" s="10" t="s">
        <v>2351</v>
      </c>
    </row>
    <row r="94" customFormat="false" ht="15" hidden="false" customHeight="false" outlineLevel="0" collapsed="false">
      <c r="A94" s="10" t="s">
        <v>2441</v>
      </c>
      <c r="B94" s="19" t="n">
        <v>8472</v>
      </c>
      <c r="C94" s="19" t="n">
        <v>3</v>
      </c>
      <c r="D94" s="10" t="s">
        <v>2358</v>
      </c>
    </row>
    <row r="95" customFormat="false" ht="15" hidden="false" customHeight="false" outlineLevel="0" collapsed="false">
      <c r="A95" s="10" t="s">
        <v>2442</v>
      </c>
      <c r="B95" s="19" t="n">
        <v>8076</v>
      </c>
      <c r="C95" s="19" t="n">
        <v>3</v>
      </c>
      <c r="D95" s="10" t="s">
        <v>2358</v>
      </c>
    </row>
    <row r="96" customFormat="false" ht="15" hidden="false" customHeight="false" outlineLevel="0" collapsed="false">
      <c r="A96" s="10" t="s">
        <v>2443</v>
      </c>
      <c r="B96" s="19" t="n">
        <v>8065</v>
      </c>
      <c r="C96" s="19" t="n">
        <v>20</v>
      </c>
      <c r="D96" s="10" t="s">
        <v>1729</v>
      </c>
    </row>
    <row r="97" customFormat="false" ht="15" hidden="false" customHeight="false" outlineLevel="0" collapsed="false">
      <c r="A97" s="10" t="s">
        <v>2444</v>
      </c>
      <c r="B97" s="19" t="n">
        <v>7936</v>
      </c>
      <c r="C97" s="19" t="n">
        <v>8</v>
      </c>
      <c r="D97" s="10" t="s">
        <v>1685</v>
      </c>
    </row>
    <row r="98" customFormat="false" ht="15" hidden="false" customHeight="false" outlineLevel="0" collapsed="false">
      <c r="A98" s="10" t="s">
        <v>2445</v>
      </c>
      <c r="B98" s="19" t="n">
        <v>7836</v>
      </c>
      <c r="C98" s="19" t="n">
        <v>21</v>
      </c>
      <c r="D98" s="10" t="s">
        <v>2351</v>
      </c>
    </row>
    <row r="99" customFormat="false" ht="15" hidden="false" customHeight="false" outlineLevel="0" collapsed="false">
      <c r="A99" s="10" t="s">
        <v>1857</v>
      </c>
      <c r="B99" s="19" t="n">
        <v>7796</v>
      </c>
      <c r="C99" s="19" t="n">
        <v>11</v>
      </c>
      <c r="D99" s="10" t="s">
        <v>1857</v>
      </c>
    </row>
    <row r="100" customFormat="false" ht="15" hidden="false" customHeight="false" outlineLevel="0" collapsed="false">
      <c r="A100" s="10" t="s">
        <v>2446</v>
      </c>
      <c r="B100" s="19" t="n">
        <v>7627</v>
      </c>
      <c r="C100" s="19" t="n">
        <v>15</v>
      </c>
      <c r="D100" s="10" t="s">
        <v>2351</v>
      </c>
    </row>
    <row r="101" customFormat="false" ht="15" hidden="false" customHeight="false" outlineLevel="0" collapsed="false">
      <c r="A101" s="10" t="s">
        <v>2447</v>
      </c>
      <c r="B101" s="19" t="n">
        <v>7345</v>
      </c>
      <c r="C101" s="19" t="n">
        <v>8</v>
      </c>
      <c r="D101" s="10" t="s">
        <v>1811</v>
      </c>
    </row>
    <row r="102" customFormat="false" ht="15" hidden="false" customHeight="false" outlineLevel="0" collapsed="false">
      <c r="A102" s="10" t="s">
        <v>2448</v>
      </c>
      <c r="B102" s="19" t="n">
        <v>7235</v>
      </c>
      <c r="C102" s="19" t="n">
        <v>10</v>
      </c>
      <c r="D102" s="10" t="s">
        <v>1603</v>
      </c>
    </row>
    <row r="103" customFormat="false" ht="15" hidden="false" customHeight="false" outlineLevel="0" collapsed="false">
      <c r="A103" s="10" t="s">
        <v>2449</v>
      </c>
      <c r="B103" s="19" t="n">
        <v>7220</v>
      </c>
      <c r="C103" s="19" t="n">
        <v>19</v>
      </c>
      <c r="D103" s="10" t="s">
        <v>2358</v>
      </c>
    </row>
    <row r="104" customFormat="false" ht="15" hidden="false" customHeight="false" outlineLevel="0" collapsed="false">
      <c r="A104" s="10" t="s">
        <v>2450</v>
      </c>
      <c r="B104" s="19" t="n">
        <v>7147</v>
      </c>
      <c r="C104" s="19" t="n">
        <v>2</v>
      </c>
      <c r="D104" s="10" t="s">
        <v>2351</v>
      </c>
    </row>
    <row r="105" customFormat="false" ht="15" hidden="false" customHeight="false" outlineLevel="0" collapsed="false">
      <c r="A105" s="10" t="s">
        <v>2451</v>
      </c>
      <c r="B105" s="19" t="n">
        <v>7108</v>
      </c>
      <c r="C105" s="19" t="n">
        <v>12</v>
      </c>
      <c r="D105" s="10" t="s">
        <v>2351</v>
      </c>
    </row>
    <row r="106" customFormat="false" ht="15" hidden="false" customHeight="false" outlineLevel="0" collapsed="false">
      <c r="A106" s="10" t="s">
        <v>2452</v>
      </c>
      <c r="B106" s="19" t="n">
        <v>7001</v>
      </c>
      <c r="C106" s="19" t="n">
        <v>6</v>
      </c>
      <c r="D106" s="10" t="s">
        <v>2351</v>
      </c>
    </row>
    <row r="107" customFormat="false" ht="15" hidden="false" customHeight="false" outlineLevel="0" collapsed="false">
      <c r="A107" s="10" t="s">
        <v>2453</v>
      </c>
      <c r="B107" s="19" t="n">
        <v>6972</v>
      </c>
      <c r="C107" s="19" t="n">
        <v>8</v>
      </c>
      <c r="D107" s="10" t="s">
        <v>2351</v>
      </c>
    </row>
    <row r="108" customFormat="false" ht="15" hidden="false" customHeight="false" outlineLevel="0" collapsed="false">
      <c r="A108" s="10" t="s">
        <v>2454</v>
      </c>
      <c r="B108" s="19" t="n">
        <v>6818</v>
      </c>
      <c r="C108" s="19" t="n">
        <v>0</v>
      </c>
      <c r="D108" s="10" t="s">
        <v>1761</v>
      </c>
    </row>
    <row r="109" customFormat="false" ht="15" hidden="false" customHeight="false" outlineLevel="0" collapsed="false">
      <c r="A109" s="10" t="s">
        <v>2455</v>
      </c>
      <c r="B109" s="19" t="n">
        <v>6784</v>
      </c>
      <c r="C109" s="19" t="n">
        <v>5</v>
      </c>
      <c r="D109" s="10" t="s">
        <v>1811</v>
      </c>
    </row>
    <row r="110" customFormat="false" ht="15" hidden="false" customHeight="false" outlineLevel="0" collapsed="false">
      <c r="A110" s="10" t="s">
        <v>2456</v>
      </c>
      <c r="B110" s="19" t="n">
        <v>6521</v>
      </c>
      <c r="C110" s="19" t="n">
        <v>3</v>
      </c>
      <c r="D110" s="10" t="s">
        <v>2358</v>
      </c>
    </row>
    <row r="111" customFormat="false" ht="15" hidden="false" customHeight="false" outlineLevel="0" collapsed="false">
      <c r="A111" s="10" t="s">
        <v>2457</v>
      </c>
      <c r="B111" s="19" t="n">
        <v>6503</v>
      </c>
      <c r="C111" s="19" t="n">
        <v>6</v>
      </c>
      <c r="D111" s="10" t="s">
        <v>1685</v>
      </c>
    </row>
    <row r="112" customFormat="false" ht="15" hidden="false" customHeight="false" outlineLevel="0" collapsed="false">
      <c r="A112" s="10" t="s">
        <v>2458</v>
      </c>
      <c r="B112" s="19" t="n">
        <v>6245</v>
      </c>
      <c r="C112" s="19" t="n">
        <v>0</v>
      </c>
      <c r="D112" s="10" t="s">
        <v>2358</v>
      </c>
    </row>
    <row r="113" customFormat="false" ht="15" hidden="false" customHeight="false" outlineLevel="0" collapsed="false">
      <c r="A113" s="10" t="s">
        <v>2459</v>
      </c>
      <c r="B113" s="19" t="n">
        <v>6137</v>
      </c>
      <c r="C113" s="19" t="n">
        <v>25</v>
      </c>
      <c r="D113" s="10" t="s">
        <v>2358</v>
      </c>
    </row>
    <row r="114" customFormat="false" ht="15" hidden="false" customHeight="false" outlineLevel="0" collapsed="false">
      <c r="A114" s="10" t="s">
        <v>2460</v>
      </c>
      <c r="B114" s="19" t="n">
        <v>6133</v>
      </c>
      <c r="C114" s="19" t="n">
        <v>11</v>
      </c>
      <c r="D114" s="10" t="s">
        <v>2358</v>
      </c>
    </row>
    <row r="115" customFormat="false" ht="15" hidden="false" customHeight="false" outlineLevel="0" collapsed="false">
      <c r="A115" s="10" t="s">
        <v>2461</v>
      </c>
      <c r="B115" s="19" t="n">
        <v>5951</v>
      </c>
      <c r="C115" s="19" t="n">
        <v>0</v>
      </c>
      <c r="D115" s="10" t="s">
        <v>2358</v>
      </c>
    </row>
    <row r="116" customFormat="false" ht="15" hidden="false" customHeight="false" outlineLevel="0" collapsed="false">
      <c r="A116" s="10" t="s">
        <v>2462</v>
      </c>
      <c r="B116" s="19" t="n">
        <v>5865</v>
      </c>
      <c r="C116" s="19" t="n">
        <v>5</v>
      </c>
      <c r="D116" s="10" t="s">
        <v>1603</v>
      </c>
    </row>
    <row r="117" customFormat="false" ht="15" hidden="false" customHeight="false" outlineLevel="0" collapsed="false">
      <c r="A117" s="10" t="s">
        <v>2463</v>
      </c>
      <c r="B117" s="19" t="n">
        <v>5849</v>
      </c>
      <c r="C117" s="19" t="n">
        <v>0</v>
      </c>
      <c r="D117" s="10" t="s">
        <v>2351</v>
      </c>
    </row>
    <row r="118" customFormat="false" ht="15" hidden="false" customHeight="false" outlineLevel="0" collapsed="false">
      <c r="A118" s="10" t="s">
        <v>2464</v>
      </c>
      <c r="B118" s="19" t="n">
        <v>5716</v>
      </c>
      <c r="C118" s="19" t="n">
        <v>3</v>
      </c>
      <c r="D118" s="10" t="s">
        <v>1713</v>
      </c>
    </row>
    <row r="119" customFormat="false" ht="15" hidden="false" customHeight="false" outlineLevel="0" collapsed="false">
      <c r="A119" s="10" t="s">
        <v>2465</v>
      </c>
      <c r="B119" s="19" t="n">
        <v>5709</v>
      </c>
      <c r="C119" s="19" t="n">
        <v>3</v>
      </c>
      <c r="D119" s="10" t="s">
        <v>2358</v>
      </c>
    </row>
    <row r="120" customFormat="false" ht="15" hidden="false" customHeight="false" outlineLevel="0" collapsed="false">
      <c r="A120" s="10" t="s">
        <v>2466</v>
      </c>
      <c r="B120" s="19" t="n">
        <v>5654</v>
      </c>
      <c r="C120" s="19" t="n">
        <v>5</v>
      </c>
      <c r="D120" s="10" t="s">
        <v>2358</v>
      </c>
    </row>
    <row r="121" customFormat="false" ht="15" hidden="false" customHeight="false" outlineLevel="0" collapsed="false">
      <c r="A121" s="10" t="s">
        <v>2467</v>
      </c>
      <c r="B121" s="19" t="n">
        <v>5649</v>
      </c>
      <c r="C121" s="19" t="n">
        <v>3</v>
      </c>
      <c r="D121" s="10" t="s">
        <v>1611</v>
      </c>
    </row>
    <row r="122" customFormat="false" ht="15" hidden="false" customHeight="false" outlineLevel="0" collapsed="false">
      <c r="A122" s="10" t="s">
        <v>2468</v>
      </c>
      <c r="B122" s="19" t="n">
        <v>5595</v>
      </c>
      <c r="C122" s="19" t="n">
        <v>7</v>
      </c>
      <c r="D122" s="10" t="s">
        <v>2351</v>
      </c>
    </row>
    <row r="123" customFormat="false" ht="15" hidden="false" customHeight="false" outlineLevel="0" collapsed="false">
      <c r="A123" s="10" t="s">
        <v>2469</v>
      </c>
      <c r="B123" s="19" t="n">
        <v>5459</v>
      </c>
      <c r="C123" s="19" t="n">
        <v>2</v>
      </c>
      <c r="D123" s="10" t="s">
        <v>2351</v>
      </c>
    </row>
    <row r="124" customFormat="false" ht="15" hidden="false" customHeight="false" outlineLevel="0" collapsed="false">
      <c r="A124" s="10" t="s">
        <v>2470</v>
      </c>
      <c r="B124" s="19" t="n">
        <v>5441</v>
      </c>
      <c r="C124" s="19" t="n">
        <v>3</v>
      </c>
      <c r="D124" s="10" t="s">
        <v>2351</v>
      </c>
    </row>
    <row r="125" customFormat="false" ht="15" hidden="false" customHeight="false" outlineLevel="0" collapsed="false">
      <c r="A125" s="10" t="s">
        <v>2471</v>
      </c>
      <c r="B125" s="19" t="n">
        <v>5422</v>
      </c>
      <c r="C125" s="19" t="n">
        <v>22</v>
      </c>
      <c r="D125" s="10" t="s">
        <v>2351</v>
      </c>
    </row>
    <row r="126" customFormat="false" ht="15" hidden="false" customHeight="false" outlineLevel="0" collapsed="false">
      <c r="A126" s="10" t="s">
        <v>2472</v>
      </c>
      <c r="B126" s="19" t="n">
        <v>5407</v>
      </c>
      <c r="C126" s="19" t="n">
        <v>0</v>
      </c>
      <c r="D126" s="10" t="s">
        <v>2358</v>
      </c>
    </row>
    <row r="127" customFormat="false" ht="15" hidden="false" customHeight="false" outlineLevel="0" collapsed="false">
      <c r="A127" s="10" t="s">
        <v>2473</v>
      </c>
      <c r="B127" s="19" t="n">
        <v>5293</v>
      </c>
      <c r="C127" s="19" t="n">
        <v>1</v>
      </c>
      <c r="D127" s="10" t="s">
        <v>2351</v>
      </c>
    </row>
    <row r="128" customFormat="false" ht="15" hidden="false" customHeight="false" outlineLevel="0" collapsed="false">
      <c r="A128" s="10" t="s">
        <v>2474</v>
      </c>
      <c r="B128" s="19" t="n">
        <v>5280</v>
      </c>
      <c r="C128" s="19" t="n">
        <v>20</v>
      </c>
      <c r="D128" s="10" t="s">
        <v>1729</v>
      </c>
    </row>
    <row r="129" customFormat="false" ht="15" hidden="false" customHeight="false" outlineLevel="0" collapsed="false">
      <c r="A129" s="10" t="s">
        <v>2475</v>
      </c>
      <c r="B129" s="19" t="n">
        <v>5193</v>
      </c>
      <c r="C129" s="19" t="n">
        <v>0</v>
      </c>
      <c r="D129" s="10" t="s">
        <v>2358</v>
      </c>
    </row>
    <row r="130" customFormat="false" ht="15" hidden="false" customHeight="false" outlineLevel="0" collapsed="false">
      <c r="A130" s="10" t="s">
        <v>2476</v>
      </c>
      <c r="B130" s="19" t="n">
        <v>5116</v>
      </c>
      <c r="C130" s="19" t="n">
        <v>17</v>
      </c>
      <c r="D130" s="10" t="s">
        <v>2351</v>
      </c>
    </row>
    <row r="131" customFormat="false" ht="15" hidden="false" customHeight="false" outlineLevel="0" collapsed="false">
      <c r="A131" s="10" t="s">
        <v>2477</v>
      </c>
      <c r="B131" s="19" t="n">
        <v>4789</v>
      </c>
      <c r="C131" s="19" t="n">
        <v>20</v>
      </c>
      <c r="D131" s="10" t="s">
        <v>1705</v>
      </c>
    </row>
    <row r="132" customFormat="false" ht="15" hidden="false" customHeight="false" outlineLevel="0" collapsed="false">
      <c r="A132" s="10" t="s">
        <v>2478</v>
      </c>
      <c r="B132" s="19" t="n">
        <v>4784</v>
      </c>
      <c r="C132" s="19" t="n">
        <v>2</v>
      </c>
      <c r="D132" s="10" t="s">
        <v>1629</v>
      </c>
    </row>
    <row r="133" customFormat="false" ht="15" hidden="false" customHeight="false" outlineLevel="0" collapsed="false">
      <c r="A133" s="10" t="s">
        <v>2479</v>
      </c>
      <c r="B133" s="19" t="n">
        <v>4608</v>
      </c>
      <c r="C133" s="19" t="n">
        <v>7</v>
      </c>
      <c r="D133" s="10" t="s">
        <v>2351</v>
      </c>
    </row>
    <row r="134" customFormat="false" ht="15" hidden="false" customHeight="false" outlineLevel="0" collapsed="false">
      <c r="A134" s="10" t="s">
        <v>2480</v>
      </c>
      <c r="B134" s="19" t="n">
        <v>4602</v>
      </c>
      <c r="C134" s="19" t="n">
        <v>7</v>
      </c>
      <c r="D134" s="10" t="s">
        <v>1729</v>
      </c>
    </row>
    <row r="135" customFormat="false" ht="15" hidden="false" customHeight="false" outlineLevel="0" collapsed="false">
      <c r="A135" s="10" t="s">
        <v>2481</v>
      </c>
      <c r="B135" s="19" t="n">
        <v>4593</v>
      </c>
      <c r="C135" s="19" t="n">
        <v>6</v>
      </c>
      <c r="D135" s="10" t="s">
        <v>2351</v>
      </c>
    </row>
    <row r="136" customFormat="false" ht="15" hidden="false" customHeight="false" outlineLevel="0" collapsed="false">
      <c r="A136" s="10" t="s">
        <v>2482</v>
      </c>
      <c r="B136" s="19" t="n">
        <v>4470</v>
      </c>
      <c r="C136" s="19" t="n">
        <v>5</v>
      </c>
      <c r="D136" s="10" t="s">
        <v>1797</v>
      </c>
    </row>
    <row r="137" customFormat="false" ht="15" hidden="false" customHeight="false" outlineLevel="0" collapsed="false">
      <c r="A137" s="10" t="s">
        <v>2483</v>
      </c>
      <c r="B137" s="19" t="n">
        <v>4391</v>
      </c>
      <c r="C137" s="19" t="n">
        <v>1</v>
      </c>
      <c r="D137" s="10" t="s">
        <v>1705</v>
      </c>
    </row>
    <row r="138" customFormat="false" ht="15" hidden="false" customHeight="false" outlineLevel="0" collapsed="false">
      <c r="A138" s="10" t="s">
        <v>2484</v>
      </c>
      <c r="B138" s="19" t="n">
        <v>4389</v>
      </c>
      <c r="C138" s="19" t="n">
        <v>6</v>
      </c>
      <c r="D138" s="10" t="s">
        <v>1603</v>
      </c>
    </row>
    <row r="139" customFormat="false" ht="15" hidden="false" customHeight="false" outlineLevel="0" collapsed="false">
      <c r="A139" s="10" t="s">
        <v>2485</v>
      </c>
      <c r="B139" s="19" t="n">
        <v>4261</v>
      </c>
      <c r="C139" s="19" t="n">
        <v>3</v>
      </c>
      <c r="D139" s="10" t="s">
        <v>2358</v>
      </c>
    </row>
    <row r="140" customFormat="false" ht="15" hidden="false" customHeight="false" outlineLevel="0" collapsed="false">
      <c r="A140" s="10" t="s">
        <v>2486</v>
      </c>
      <c r="B140" s="19" t="n">
        <v>4260</v>
      </c>
      <c r="C140" s="19" t="n">
        <v>9</v>
      </c>
      <c r="D140" s="10" t="s">
        <v>2358</v>
      </c>
    </row>
    <row r="141" customFormat="false" ht="15" hidden="false" customHeight="false" outlineLevel="0" collapsed="false">
      <c r="A141" s="10" t="s">
        <v>2487</v>
      </c>
      <c r="B141" s="19" t="n">
        <v>4230</v>
      </c>
      <c r="C141" s="19" t="n">
        <v>9</v>
      </c>
      <c r="D141" s="10" t="s">
        <v>2351</v>
      </c>
    </row>
    <row r="142" customFormat="false" ht="15" hidden="false" customHeight="false" outlineLevel="0" collapsed="false">
      <c r="A142" s="10" t="s">
        <v>2488</v>
      </c>
      <c r="B142" s="19" t="n">
        <v>4195</v>
      </c>
      <c r="C142" s="19" t="n">
        <v>0</v>
      </c>
      <c r="D142" s="10" t="s">
        <v>2358</v>
      </c>
    </row>
    <row r="143" customFormat="false" ht="15" hidden="false" customHeight="false" outlineLevel="0" collapsed="false">
      <c r="A143" s="10" t="s">
        <v>2489</v>
      </c>
      <c r="B143" s="19" t="n">
        <v>4122</v>
      </c>
      <c r="C143" s="19" t="n">
        <v>36</v>
      </c>
      <c r="D143" s="10" t="s">
        <v>1831</v>
      </c>
    </row>
    <row r="144" customFormat="false" ht="15" hidden="false" customHeight="false" outlineLevel="0" collapsed="false">
      <c r="A144" s="10" t="s">
        <v>2490</v>
      </c>
      <c r="B144" s="19" t="n">
        <v>4107</v>
      </c>
      <c r="C144" s="19" t="n">
        <v>37</v>
      </c>
      <c r="D144" s="10" t="s">
        <v>1631</v>
      </c>
    </row>
    <row r="145" customFormat="false" ht="15" hidden="false" customHeight="false" outlineLevel="0" collapsed="false">
      <c r="A145" s="10" t="s">
        <v>2491</v>
      </c>
      <c r="B145" s="19" t="n">
        <v>4056</v>
      </c>
      <c r="C145" s="19" t="n">
        <v>2</v>
      </c>
      <c r="D145" s="10" t="s">
        <v>1629</v>
      </c>
    </row>
    <row r="146" customFormat="false" ht="15" hidden="false" customHeight="false" outlineLevel="0" collapsed="false">
      <c r="A146" s="10" t="s">
        <v>2492</v>
      </c>
      <c r="B146" s="19" t="n">
        <v>3905</v>
      </c>
      <c r="C146" s="19" t="n">
        <v>0</v>
      </c>
      <c r="D146" s="10" t="s">
        <v>2351</v>
      </c>
    </row>
    <row r="147" customFormat="false" ht="15" hidden="false" customHeight="false" outlineLevel="0" collapsed="false">
      <c r="A147" s="10" t="s">
        <v>2493</v>
      </c>
      <c r="B147" s="19" t="n">
        <v>3902</v>
      </c>
      <c r="C147" s="19" t="n">
        <v>7</v>
      </c>
      <c r="D147" s="10" t="s">
        <v>2351</v>
      </c>
    </row>
    <row r="148" customFormat="false" ht="15" hidden="false" customHeight="false" outlineLevel="0" collapsed="false">
      <c r="A148" s="10" t="s">
        <v>2494</v>
      </c>
      <c r="B148" s="19" t="n">
        <v>3690</v>
      </c>
      <c r="C148" s="19" t="n">
        <v>15</v>
      </c>
      <c r="D148" s="10" t="s">
        <v>2358</v>
      </c>
    </row>
    <row r="149" customFormat="false" ht="15" hidden="false" customHeight="false" outlineLevel="0" collapsed="false">
      <c r="A149" s="10" t="s">
        <v>2495</v>
      </c>
      <c r="B149" s="19" t="n">
        <v>3686</v>
      </c>
      <c r="C149" s="19" t="n">
        <v>6</v>
      </c>
      <c r="D149" s="10" t="s">
        <v>2358</v>
      </c>
    </row>
    <row r="150" customFormat="false" ht="15" hidden="false" customHeight="false" outlineLevel="0" collapsed="false">
      <c r="A150" s="10" t="s">
        <v>2496</v>
      </c>
      <c r="B150" s="19" t="n">
        <v>3635</v>
      </c>
      <c r="C150" s="19" t="n">
        <v>11</v>
      </c>
      <c r="D150" s="10" t="s">
        <v>1705</v>
      </c>
    </row>
    <row r="151" customFormat="false" ht="15" hidden="false" customHeight="false" outlineLevel="0" collapsed="false">
      <c r="A151" s="10" t="s">
        <v>2497</v>
      </c>
      <c r="B151" s="19" t="n">
        <v>3615</v>
      </c>
      <c r="C151" s="19" t="n">
        <v>9</v>
      </c>
      <c r="D151" s="10" t="s">
        <v>2358</v>
      </c>
    </row>
    <row r="152" customFormat="false" ht="15" hidden="false" customHeight="false" outlineLevel="0" collapsed="false">
      <c r="A152" s="10" t="s">
        <v>2498</v>
      </c>
      <c r="B152" s="19" t="n">
        <v>3562</v>
      </c>
      <c r="C152" s="19" t="n">
        <v>3</v>
      </c>
      <c r="D152" s="10" t="s">
        <v>1603</v>
      </c>
    </row>
    <row r="153" customFormat="false" ht="15" hidden="false" customHeight="false" outlineLevel="0" collapsed="false">
      <c r="A153" s="10" t="s">
        <v>2499</v>
      </c>
      <c r="B153" s="19" t="n">
        <v>3470</v>
      </c>
      <c r="C153" s="19" t="n">
        <v>9</v>
      </c>
      <c r="D153" s="10" t="s">
        <v>1591</v>
      </c>
    </row>
    <row r="154" customFormat="false" ht="15" hidden="false" customHeight="false" outlineLevel="0" collapsed="false">
      <c r="A154" s="10" t="s">
        <v>2500</v>
      </c>
      <c r="B154" s="19" t="n">
        <v>3416</v>
      </c>
      <c r="C154" s="19" t="n">
        <v>13</v>
      </c>
      <c r="D154" s="10" t="s">
        <v>2351</v>
      </c>
    </row>
    <row r="155" customFormat="false" ht="15" hidden="false" customHeight="false" outlineLevel="0" collapsed="false">
      <c r="A155" s="10" t="s">
        <v>2501</v>
      </c>
      <c r="B155" s="19" t="n">
        <v>3396</v>
      </c>
      <c r="C155" s="19" t="n">
        <v>2</v>
      </c>
      <c r="D155" s="10" t="s">
        <v>2351</v>
      </c>
    </row>
    <row r="156" customFormat="false" ht="15" hidden="false" customHeight="false" outlineLevel="0" collapsed="false">
      <c r="A156" s="10" t="s">
        <v>2502</v>
      </c>
      <c r="B156" s="19" t="n">
        <v>3357</v>
      </c>
      <c r="C156" s="19" t="n">
        <v>6</v>
      </c>
      <c r="D156" s="10" t="s">
        <v>1629</v>
      </c>
    </row>
    <row r="157" customFormat="false" ht="15" hidden="false" customHeight="false" outlineLevel="0" collapsed="false">
      <c r="A157" s="10" t="s">
        <v>2503</v>
      </c>
      <c r="B157" s="19" t="n">
        <v>3189</v>
      </c>
      <c r="C157" s="19" t="n">
        <v>16</v>
      </c>
      <c r="D157" s="10" t="s">
        <v>2358</v>
      </c>
    </row>
    <row r="158" customFormat="false" ht="15" hidden="false" customHeight="false" outlineLevel="0" collapsed="false">
      <c r="A158" s="10" t="s">
        <v>2504</v>
      </c>
      <c r="B158" s="19" t="n">
        <v>3166</v>
      </c>
      <c r="C158" s="19" t="n">
        <v>0</v>
      </c>
      <c r="D158" s="10" t="s">
        <v>2351</v>
      </c>
    </row>
    <row r="159" customFormat="false" ht="15" hidden="false" customHeight="false" outlineLevel="0" collapsed="false">
      <c r="A159" s="10" t="s">
        <v>2505</v>
      </c>
      <c r="B159" s="19" t="n">
        <v>3164</v>
      </c>
      <c r="C159" s="19" t="n">
        <v>8</v>
      </c>
      <c r="D159" s="10" t="s">
        <v>1603</v>
      </c>
    </row>
    <row r="160" customFormat="false" ht="15" hidden="false" customHeight="false" outlineLevel="0" collapsed="false">
      <c r="A160" s="10" t="s">
        <v>2506</v>
      </c>
      <c r="B160" s="19" t="n">
        <v>3014</v>
      </c>
      <c r="C160" s="19" t="n">
        <v>14</v>
      </c>
      <c r="D160" s="10" t="s">
        <v>1705</v>
      </c>
    </row>
    <row r="161" customFormat="false" ht="15" hidden="false" customHeight="false" outlineLevel="0" collapsed="false">
      <c r="A161" s="10" t="s">
        <v>2507</v>
      </c>
      <c r="B161" s="19" t="n">
        <v>2989</v>
      </c>
      <c r="C161" s="19" t="n">
        <v>39</v>
      </c>
      <c r="D161" s="10" t="s">
        <v>2351</v>
      </c>
    </row>
    <row r="162" customFormat="false" ht="15" hidden="false" customHeight="false" outlineLevel="0" collapsed="false">
      <c r="A162" s="10" t="s">
        <v>2508</v>
      </c>
      <c r="B162" s="19" t="n">
        <v>2983</v>
      </c>
      <c r="C162" s="19" t="n">
        <v>0</v>
      </c>
      <c r="D162" s="10" t="s">
        <v>1685</v>
      </c>
    </row>
    <row r="163" customFormat="false" ht="15" hidden="false" customHeight="false" outlineLevel="0" collapsed="false">
      <c r="A163" s="10" t="s">
        <v>2509</v>
      </c>
      <c r="B163" s="19" t="n">
        <v>2969</v>
      </c>
      <c r="C163" s="19" t="n">
        <v>11</v>
      </c>
      <c r="D163" s="10" t="s">
        <v>2351</v>
      </c>
    </row>
    <row r="164" customFormat="false" ht="15" hidden="false" customHeight="false" outlineLevel="0" collapsed="false">
      <c r="A164" s="10" t="s">
        <v>2510</v>
      </c>
      <c r="B164" s="19" t="n">
        <v>2921</v>
      </c>
      <c r="C164" s="19" t="n">
        <v>3</v>
      </c>
      <c r="D164" s="10" t="s">
        <v>1705</v>
      </c>
    </row>
    <row r="165" customFormat="false" ht="15" hidden="false" customHeight="false" outlineLevel="0" collapsed="false">
      <c r="A165" s="10" t="s">
        <v>2511</v>
      </c>
      <c r="B165" s="19" t="n">
        <v>2869</v>
      </c>
      <c r="C165" s="19" t="n">
        <v>7</v>
      </c>
      <c r="D165" s="10" t="s">
        <v>2358</v>
      </c>
    </row>
    <row r="166" customFormat="false" ht="15" hidden="false" customHeight="false" outlineLevel="0" collapsed="false">
      <c r="A166" s="10" t="s">
        <v>2512</v>
      </c>
      <c r="B166" s="19" t="n">
        <v>2868</v>
      </c>
      <c r="C166" s="19" t="n">
        <v>27</v>
      </c>
      <c r="D166" s="10" t="s">
        <v>2358</v>
      </c>
    </row>
    <row r="167" customFormat="false" ht="15" hidden="false" customHeight="false" outlineLevel="0" collapsed="false">
      <c r="A167" s="10" t="s">
        <v>2513</v>
      </c>
      <c r="B167" s="19" t="n">
        <v>2842</v>
      </c>
      <c r="C167" s="19" t="n">
        <v>19</v>
      </c>
      <c r="D167" s="10" t="s">
        <v>1504</v>
      </c>
    </row>
    <row r="168" customFormat="false" ht="15" hidden="false" customHeight="false" outlineLevel="0" collapsed="false">
      <c r="A168" s="10" t="s">
        <v>2514</v>
      </c>
      <c r="B168" s="19" t="n">
        <v>2742</v>
      </c>
      <c r="C168" s="19" t="n">
        <v>5</v>
      </c>
      <c r="D168" s="10" t="s">
        <v>1705</v>
      </c>
    </row>
    <row r="169" customFormat="false" ht="15" hidden="false" customHeight="false" outlineLevel="0" collapsed="false">
      <c r="A169" s="10" t="s">
        <v>2515</v>
      </c>
      <c r="B169" s="19" t="n">
        <v>2733</v>
      </c>
      <c r="C169" s="19" t="n">
        <v>16</v>
      </c>
      <c r="D169" s="10" t="s">
        <v>2358</v>
      </c>
    </row>
    <row r="170" customFormat="false" ht="15" hidden="false" customHeight="false" outlineLevel="0" collapsed="false">
      <c r="A170" s="10" t="s">
        <v>2516</v>
      </c>
      <c r="B170" s="19" t="n">
        <v>2731</v>
      </c>
      <c r="C170" s="19" t="n">
        <v>31</v>
      </c>
      <c r="D170" s="10" t="s">
        <v>2358</v>
      </c>
    </row>
    <row r="171" customFormat="false" ht="15" hidden="false" customHeight="false" outlineLevel="0" collapsed="false">
      <c r="A171" s="10" t="s">
        <v>2517</v>
      </c>
      <c r="B171" s="19" t="n">
        <v>2719</v>
      </c>
      <c r="C171" s="19" t="n">
        <v>7</v>
      </c>
      <c r="D171" s="10" t="s">
        <v>2358</v>
      </c>
    </row>
    <row r="172" customFormat="false" ht="15" hidden="false" customHeight="false" outlineLevel="0" collapsed="false">
      <c r="A172" s="10" t="s">
        <v>2518</v>
      </c>
      <c r="B172" s="19" t="n">
        <v>2686</v>
      </c>
      <c r="C172" s="19" t="n">
        <v>0</v>
      </c>
      <c r="D172" s="10" t="s">
        <v>1609</v>
      </c>
    </row>
    <row r="173" customFormat="false" ht="15" hidden="false" customHeight="false" outlineLevel="0" collapsed="false">
      <c r="A173" s="10" t="s">
        <v>2519</v>
      </c>
      <c r="B173" s="19" t="n">
        <v>2642</v>
      </c>
      <c r="C173" s="19" t="n">
        <v>9</v>
      </c>
      <c r="D173" s="10" t="s">
        <v>1705</v>
      </c>
    </row>
    <row r="174" customFormat="false" ht="15" hidden="false" customHeight="false" outlineLevel="0" collapsed="false">
      <c r="A174" s="10" t="s">
        <v>2520</v>
      </c>
      <c r="B174" s="19" t="n">
        <v>2637</v>
      </c>
      <c r="C174" s="19" t="n">
        <v>0</v>
      </c>
      <c r="D174" s="10" t="s">
        <v>1763</v>
      </c>
    </row>
    <row r="175" customFormat="false" ht="15" hidden="false" customHeight="false" outlineLevel="0" collapsed="false">
      <c r="A175" s="10" t="s">
        <v>2521</v>
      </c>
      <c r="B175" s="19" t="n">
        <v>2626</v>
      </c>
      <c r="C175" s="19" t="n">
        <v>10</v>
      </c>
      <c r="D175" s="10" t="s">
        <v>2351</v>
      </c>
    </row>
    <row r="176" customFormat="false" ht="15" hidden="false" customHeight="false" outlineLevel="0" collapsed="false">
      <c r="A176" s="10" t="s">
        <v>2522</v>
      </c>
      <c r="B176" s="19" t="n">
        <v>2618</v>
      </c>
      <c r="C176" s="19" t="n">
        <v>3</v>
      </c>
      <c r="D176" s="10" t="s">
        <v>2351</v>
      </c>
    </row>
    <row r="177" customFormat="false" ht="15" hidden="false" customHeight="false" outlineLevel="0" collapsed="false">
      <c r="A177" s="10" t="s">
        <v>2523</v>
      </c>
      <c r="B177" s="19" t="n">
        <v>2613</v>
      </c>
      <c r="C177" s="19" t="n">
        <v>7</v>
      </c>
      <c r="D177" s="10" t="s">
        <v>1609</v>
      </c>
    </row>
    <row r="178" customFormat="false" ht="15" hidden="false" customHeight="false" outlineLevel="0" collapsed="false">
      <c r="A178" s="10" t="s">
        <v>2524</v>
      </c>
      <c r="B178" s="19" t="n">
        <v>2580</v>
      </c>
      <c r="C178" s="19" t="n">
        <v>10</v>
      </c>
      <c r="D178" s="10" t="s">
        <v>1705</v>
      </c>
    </row>
    <row r="179" customFormat="false" ht="15" hidden="false" customHeight="false" outlineLevel="0" collapsed="false">
      <c r="A179" s="10" t="s">
        <v>2525</v>
      </c>
      <c r="B179" s="19" t="n">
        <v>2570</v>
      </c>
      <c r="C179" s="19" t="n">
        <v>0</v>
      </c>
      <c r="D179" s="10" t="s">
        <v>1777</v>
      </c>
    </row>
    <row r="180" customFormat="false" ht="15" hidden="false" customHeight="false" outlineLevel="0" collapsed="false">
      <c r="A180" s="10" t="s">
        <v>2526</v>
      </c>
      <c r="B180" s="19" t="n">
        <v>2563</v>
      </c>
      <c r="C180" s="19" t="n">
        <v>9</v>
      </c>
      <c r="D180" s="10" t="s">
        <v>1705</v>
      </c>
    </row>
    <row r="181" customFormat="false" ht="15" hidden="false" customHeight="false" outlineLevel="0" collapsed="false">
      <c r="A181" s="10" t="s">
        <v>2527</v>
      </c>
      <c r="B181" s="19" t="n">
        <v>2530</v>
      </c>
      <c r="C181" s="19" t="n">
        <v>9</v>
      </c>
      <c r="D181" s="10" t="s">
        <v>1705</v>
      </c>
    </row>
    <row r="182" customFormat="false" ht="15" hidden="false" customHeight="false" outlineLevel="0" collapsed="false">
      <c r="A182" s="10" t="s">
        <v>2528</v>
      </c>
      <c r="B182" s="19" t="n">
        <v>2446</v>
      </c>
      <c r="C182" s="19" t="n">
        <v>1</v>
      </c>
      <c r="D182" s="10" t="s">
        <v>2351</v>
      </c>
    </row>
    <row r="183" customFormat="false" ht="15" hidden="false" customHeight="false" outlineLevel="0" collapsed="false">
      <c r="A183" s="10" t="s">
        <v>2529</v>
      </c>
      <c r="B183" s="19" t="n">
        <v>2390</v>
      </c>
      <c r="C183" s="19" t="n">
        <v>1</v>
      </c>
      <c r="D183" s="10" t="s">
        <v>1811</v>
      </c>
    </row>
    <row r="184" customFormat="false" ht="15" hidden="false" customHeight="false" outlineLevel="0" collapsed="false">
      <c r="A184" s="10" t="s">
        <v>2530</v>
      </c>
      <c r="B184" s="19" t="n">
        <v>2390</v>
      </c>
      <c r="C184" s="19" t="n">
        <v>2</v>
      </c>
      <c r="D184" s="10" t="s">
        <v>2358</v>
      </c>
    </row>
    <row r="185" customFormat="false" ht="15" hidden="false" customHeight="false" outlineLevel="0" collapsed="false">
      <c r="A185" s="10" t="s">
        <v>2531</v>
      </c>
      <c r="B185" s="19" t="n">
        <v>2369</v>
      </c>
      <c r="C185" s="19" t="n">
        <v>13</v>
      </c>
      <c r="D185" s="10" t="s">
        <v>2351</v>
      </c>
    </row>
    <row r="186" customFormat="false" ht="15" hidden="false" customHeight="false" outlineLevel="0" collapsed="false">
      <c r="A186" s="10" t="s">
        <v>2532</v>
      </c>
      <c r="B186" s="19" t="n">
        <v>2316</v>
      </c>
      <c r="C186" s="19" t="n">
        <v>3</v>
      </c>
      <c r="D186" s="10" t="s">
        <v>1591</v>
      </c>
    </row>
    <row r="187" customFormat="false" ht="15" hidden="false" customHeight="false" outlineLevel="0" collapsed="false">
      <c r="A187" s="10" t="s">
        <v>2533</v>
      </c>
      <c r="B187" s="19" t="n">
        <v>2258</v>
      </c>
      <c r="C187" s="19" t="n">
        <v>7</v>
      </c>
      <c r="D187" s="10" t="s">
        <v>2351</v>
      </c>
    </row>
    <row r="188" customFormat="false" ht="15" hidden="false" customHeight="false" outlineLevel="0" collapsed="false">
      <c r="A188" s="10" t="s">
        <v>2534</v>
      </c>
      <c r="B188" s="19" t="n">
        <v>2257</v>
      </c>
      <c r="C188" s="19" t="n">
        <v>11</v>
      </c>
      <c r="D188" s="10" t="s">
        <v>2351</v>
      </c>
    </row>
    <row r="189" customFormat="false" ht="15" hidden="false" customHeight="false" outlineLevel="0" collapsed="false">
      <c r="A189" s="10" t="s">
        <v>2535</v>
      </c>
      <c r="B189" s="19" t="n">
        <v>2247</v>
      </c>
      <c r="C189" s="19" t="n">
        <v>0</v>
      </c>
      <c r="D189" s="10" t="s">
        <v>1773</v>
      </c>
    </row>
    <row r="190" customFormat="false" ht="15" hidden="false" customHeight="false" outlineLevel="0" collapsed="false">
      <c r="A190" s="10" t="s">
        <v>2536</v>
      </c>
      <c r="B190" s="19" t="n">
        <v>2235</v>
      </c>
      <c r="C190" s="19" t="n">
        <v>5</v>
      </c>
      <c r="D190" s="10" t="s">
        <v>2358</v>
      </c>
    </row>
    <row r="191" customFormat="false" ht="15" hidden="false" customHeight="false" outlineLevel="0" collapsed="false">
      <c r="A191" s="10" t="s">
        <v>2537</v>
      </c>
      <c r="B191" s="19" t="n">
        <v>2219</v>
      </c>
      <c r="C191" s="19" t="n">
        <v>13</v>
      </c>
      <c r="D191" s="10" t="s">
        <v>2358</v>
      </c>
    </row>
    <row r="192" customFormat="false" ht="15" hidden="false" customHeight="false" outlineLevel="0" collapsed="false">
      <c r="A192" s="10" t="s">
        <v>2538</v>
      </c>
      <c r="B192" s="19" t="n">
        <v>2206</v>
      </c>
      <c r="C192" s="19" t="n">
        <v>18</v>
      </c>
      <c r="D192" s="10" t="s">
        <v>1705</v>
      </c>
    </row>
    <row r="193" customFormat="false" ht="15" hidden="false" customHeight="false" outlineLevel="0" collapsed="false">
      <c r="A193" s="10" t="s">
        <v>2539</v>
      </c>
      <c r="B193" s="19" t="n">
        <v>2122</v>
      </c>
      <c r="C193" s="19" t="n">
        <v>5</v>
      </c>
      <c r="D193" s="10" t="s">
        <v>2358</v>
      </c>
    </row>
    <row r="194" customFormat="false" ht="15" hidden="false" customHeight="false" outlineLevel="0" collapsed="false">
      <c r="A194" s="10" t="s">
        <v>2540</v>
      </c>
      <c r="B194" s="19" t="n">
        <v>2096</v>
      </c>
      <c r="C194" s="19" t="n">
        <v>0</v>
      </c>
      <c r="D194" s="10" t="s">
        <v>1771</v>
      </c>
    </row>
    <row r="195" customFormat="false" ht="15" hidden="false" customHeight="false" outlineLevel="0" collapsed="false">
      <c r="A195" s="10" t="s">
        <v>2541</v>
      </c>
      <c r="B195" s="19" t="n">
        <v>2093</v>
      </c>
      <c r="C195" s="19" t="n">
        <v>0</v>
      </c>
      <c r="D195" s="10" t="s">
        <v>2358</v>
      </c>
    </row>
    <row r="196" customFormat="false" ht="15" hidden="false" customHeight="false" outlineLevel="0" collapsed="false">
      <c r="A196" s="10" t="s">
        <v>2542</v>
      </c>
      <c r="B196" s="19" t="n">
        <v>2089</v>
      </c>
      <c r="C196" s="19" t="n">
        <v>0</v>
      </c>
      <c r="D196" s="10" t="s">
        <v>2351</v>
      </c>
    </row>
    <row r="197" customFormat="false" ht="15" hidden="false" customHeight="false" outlineLevel="0" collapsed="false">
      <c r="A197" s="10" t="s">
        <v>2543</v>
      </c>
      <c r="B197" s="19" t="n">
        <v>2088</v>
      </c>
      <c r="C197" s="19" t="n">
        <v>5</v>
      </c>
      <c r="D197" s="10" t="s">
        <v>1609</v>
      </c>
    </row>
    <row r="198" customFormat="false" ht="15" hidden="false" customHeight="false" outlineLevel="0" collapsed="false">
      <c r="A198" s="10" t="s">
        <v>2544</v>
      </c>
      <c r="B198" s="19" t="n">
        <v>2083</v>
      </c>
      <c r="C198" s="19" t="n">
        <v>24</v>
      </c>
      <c r="D198" s="10" t="s">
        <v>1705</v>
      </c>
    </row>
    <row r="199" customFormat="false" ht="15" hidden="false" customHeight="false" outlineLevel="0" collapsed="false">
      <c r="A199" s="10" t="s">
        <v>2545</v>
      </c>
      <c r="B199" s="19" t="n">
        <v>2075</v>
      </c>
      <c r="C199" s="19" t="n">
        <v>41</v>
      </c>
      <c r="D199" s="10" t="s">
        <v>2358</v>
      </c>
    </row>
    <row r="200" customFormat="false" ht="15" hidden="false" customHeight="false" outlineLevel="0" collapsed="false">
      <c r="A200" s="10" t="s">
        <v>2546</v>
      </c>
      <c r="B200" s="19" t="n">
        <v>2068</v>
      </c>
      <c r="C200" s="19" t="n">
        <v>27</v>
      </c>
      <c r="D200" s="10" t="s">
        <v>1843</v>
      </c>
    </row>
    <row r="201" customFormat="false" ht="15" hidden="false" customHeight="false" outlineLevel="0" collapsed="false">
      <c r="A201" s="10" t="s">
        <v>2547</v>
      </c>
      <c r="B201" s="19" t="n">
        <v>2057</v>
      </c>
      <c r="C201" s="19" t="n">
        <v>1</v>
      </c>
      <c r="D201" s="10" t="s">
        <v>2351</v>
      </c>
    </row>
    <row r="202" customFormat="false" ht="15" hidden="false" customHeight="false" outlineLevel="0" collapsed="false">
      <c r="A202" s="10" t="s">
        <v>2548</v>
      </c>
      <c r="B202" s="19" t="n">
        <v>2011</v>
      </c>
      <c r="C202" s="19" t="n">
        <v>9</v>
      </c>
      <c r="D202" s="10" t="s">
        <v>2358</v>
      </c>
    </row>
    <row r="203" customFormat="false" ht="15" hidden="false" customHeight="false" outlineLevel="0" collapsed="false">
      <c r="A203" s="10" t="s">
        <v>2549</v>
      </c>
      <c r="B203" s="19" t="n">
        <v>1991</v>
      </c>
      <c r="C203" s="19" t="n">
        <v>16</v>
      </c>
      <c r="D203" s="10" t="s">
        <v>1538</v>
      </c>
    </row>
    <row r="204" customFormat="false" ht="15" hidden="false" customHeight="false" outlineLevel="0" collapsed="false">
      <c r="A204" s="10" t="s">
        <v>2550</v>
      </c>
      <c r="B204" s="19" t="n">
        <v>1969</v>
      </c>
      <c r="C204" s="19" t="n">
        <v>0</v>
      </c>
      <c r="D204" s="10" t="s">
        <v>1751</v>
      </c>
    </row>
    <row r="205" customFormat="false" ht="15" hidden="false" customHeight="false" outlineLevel="0" collapsed="false">
      <c r="A205" s="10" t="s">
        <v>2551</v>
      </c>
      <c r="B205" s="19" t="n">
        <v>1947</v>
      </c>
      <c r="C205" s="19" t="n">
        <v>0</v>
      </c>
      <c r="D205" s="10" t="s">
        <v>1671</v>
      </c>
    </row>
    <row r="206" customFormat="false" ht="15" hidden="false" customHeight="false" outlineLevel="0" collapsed="false">
      <c r="A206" s="10" t="s">
        <v>2552</v>
      </c>
      <c r="B206" s="19" t="n">
        <v>1940</v>
      </c>
      <c r="C206" s="19" t="n">
        <v>2</v>
      </c>
      <c r="D206" s="10" t="s">
        <v>1765</v>
      </c>
    </row>
    <row r="207" customFormat="false" ht="15" hidden="false" customHeight="false" outlineLevel="0" collapsed="false">
      <c r="A207" s="10" t="s">
        <v>2553</v>
      </c>
      <c r="B207" s="19" t="n">
        <v>1920</v>
      </c>
      <c r="C207" s="19" t="n">
        <v>15</v>
      </c>
      <c r="D207" s="10" t="s">
        <v>2351</v>
      </c>
    </row>
    <row r="208" customFormat="false" ht="15" hidden="false" customHeight="false" outlineLevel="0" collapsed="false">
      <c r="A208" s="10" t="s">
        <v>2554</v>
      </c>
      <c r="B208" s="19" t="n">
        <v>1910</v>
      </c>
      <c r="C208" s="19" t="n">
        <v>33</v>
      </c>
      <c r="D208" s="10" t="s">
        <v>2351</v>
      </c>
    </row>
    <row r="209" customFormat="false" ht="15" hidden="false" customHeight="false" outlineLevel="0" collapsed="false">
      <c r="A209" s="10" t="s">
        <v>2555</v>
      </c>
      <c r="B209" s="19" t="n">
        <v>1894</v>
      </c>
      <c r="C209" s="19" t="n">
        <v>1</v>
      </c>
      <c r="D209" s="10" t="s">
        <v>2351</v>
      </c>
    </row>
    <row r="210" customFormat="false" ht="15" hidden="false" customHeight="false" outlineLevel="0" collapsed="false">
      <c r="A210" s="10" t="s">
        <v>2556</v>
      </c>
      <c r="B210" s="19" t="n">
        <v>1865</v>
      </c>
      <c r="C210" s="19" t="n">
        <v>8</v>
      </c>
      <c r="D210" s="10" t="s">
        <v>2358</v>
      </c>
    </row>
    <row r="211" customFormat="false" ht="15" hidden="false" customHeight="false" outlineLevel="0" collapsed="false">
      <c r="A211" s="10" t="s">
        <v>2557</v>
      </c>
      <c r="B211" s="19" t="n">
        <v>1811</v>
      </c>
      <c r="C211" s="19" t="n">
        <v>2</v>
      </c>
      <c r="D211" s="10" t="s">
        <v>2358</v>
      </c>
    </row>
    <row r="212" customFormat="false" ht="15" hidden="false" customHeight="false" outlineLevel="0" collapsed="false">
      <c r="A212" s="10" t="s">
        <v>2558</v>
      </c>
      <c r="B212" s="19" t="n">
        <v>1806</v>
      </c>
      <c r="C212" s="19" t="n">
        <v>4</v>
      </c>
      <c r="D212" s="10" t="s">
        <v>2351</v>
      </c>
    </row>
    <row r="213" customFormat="false" ht="15" hidden="false" customHeight="false" outlineLevel="0" collapsed="false">
      <c r="A213" s="10" t="s">
        <v>2559</v>
      </c>
      <c r="B213" s="19" t="n">
        <v>1734</v>
      </c>
      <c r="C213" s="19" t="n">
        <v>1</v>
      </c>
      <c r="D213" s="10" t="s">
        <v>2358</v>
      </c>
    </row>
    <row r="214" customFormat="false" ht="15" hidden="false" customHeight="false" outlineLevel="0" collapsed="false">
      <c r="A214" s="10" t="s">
        <v>2560</v>
      </c>
      <c r="B214" s="19" t="n">
        <v>1731</v>
      </c>
      <c r="C214" s="19" t="n">
        <v>45</v>
      </c>
      <c r="D214" s="10" t="s">
        <v>1552</v>
      </c>
    </row>
    <row r="215" customFormat="false" ht="15" hidden="false" customHeight="false" outlineLevel="0" collapsed="false">
      <c r="A215" s="10" t="s">
        <v>2561</v>
      </c>
      <c r="B215" s="19" t="n">
        <v>1686</v>
      </c>
      <c r="C215" s="19" t="n">
        <v>14</v>
      </c>
      <c r="D215" s="10" t="s">
        <v>2351</v>
      </c>
    </row>
    <row r="216" customFormat="false" ht="15" hidden="false" customHeight="false" outlineLevel="0" collapsed="false">
      <c r="A216" s="10" t="s">
        <v>2562</v>
      </c>
      <c r="B216" s="19" t="n">
        <v>1686</v>
      </c>
      <c r="C216" s="19" t="n">
        <v>0</v>
      </c>
      <c r="D216" s="10" t="s">
        <v>1767</v>
      </c>
    </row>
    <row r="217" customFormat="false" ht="15" hidden="false" customHeight="false" outlineLevel="0" collapsed="false">
      <c r="A217" s="10" t="s">
        <v>2563</v>
      </c>
      <c r="B217" s="19" t="n">
        <v>1661</v>
      </c>
      <c r="C217" s="19" t="n">
        <v>8</v>
      </c>
      <c r="D217" s="10" t="s">
        <v>1705</v>
      </c>
    </row>
    <row r="218" customFormat="false" ht="15" hidden="false" customHeight="false" outlineLevel="0" collapsed="false">
      <c r="A218" s="10" t="s">
        <v>2564</v>
      </c>
      <c r="B218" s="19" t="n">
        <v>1638</v>
      </c>
      <c r="C218" s="19" t="n">
        <v>4</v>
      </c>
      <c r="D218" s="10" t="s">
        <v>1791</v>
      </c>
    </row>
    <row r="219" customFormat="false" ht="15" hidden="false" customHeight="false" outlineLevel="0" collapsed="false">
      <c r="A219" s="10" t="s">
        <v>2565</v>
      </c>
      <c r="B219" s="19" t="n">
        <v>1634</v>
      </c>
      <c r="C219" s="19" t="n">
        <v>0</v>
      </c>
      <c r="D219" s="10" t="s">
        <v>2358</v>
      </c>
    </row>
    <row r="220" customFormat="false" ht="15" hidden="false" customHeight="false" outlineLevel="0" collapsed="false">
      <c r="A220" s="10" t="s">
        <v>2566</v>
      </c>
      <c r="B220" s="19" t="n">
        <v>1619</v>
      </c>
      <c r="C220" s="19" t="n">
        <v>4</v>
      </c>
      <c r="D220" s="10" t="s">
        <v>1552</v>
      </c>
    </row>
    <row r="221" customFormat="false" ht="15" hidden="false" customHeight="false" outlineLevel="0" collapsed="false">
      <c r="A221" s="10" t="s">
        <v>2567</v>
      </c>
      <c r="B221" s="19" t="n">
        <v>1616</v>
      </c>
      <c r="C221" s="19" t="n">
        <v>21</v>
      </c>
      <c r="D221" s="10" t="s">
        <v>2351</v>
      </c>
    </row>
    <row r="222" customFormat="false" ht="15" hidden="false" customHeight="false" outlineLevel="0" collapsed="false">
      <c r="A222" s="10" t="s">
        <v>2568</v>
      </c>
      <c r="B222" s="19" t="n">
        <v>1611</v>
      </c>
      <c r="C222" s="19" t="n">
        <v>9</v>
      </c>
      <c r="D222" s="10" t="s">
        <v>1765</v>
      </c>
    </row>
    <row r="223" customFormat="false" ht="15" hidden="false" customHeight="false" outlineLevel="0" collapsed="false">
      <c r="A223" s="10" t="s">
        <v>2569</v>
      </c>
      <c r="B223" s="19" t="n">
        <v>1603</v>
      </c>
      <c r="C223" s="19" t="n">
        <v>0</v>
      </c>
      <c r="D223" s="10" t="s">
        <v>1845</v>
      </c>
    </row>
    <row r="224" customFormat="false" ht="15" hidden="false" customHeight="false" outlineLevel="0" collapsed="false">
      <c r="A224" s="10" t="s">
        <v>2570</v>
      </c>
      <c r="B224" s="19" t="n">
        <v>1603</v>
      </c>
      <c r="C224" s="19" t="n">
        <v>0</v>
      </c>
      <c r="D224" s="10" t="s">
        <v>2358</v>
      </c>
    </row>
    <row r="225" customFormat="false" ht="15" hidden="false" customHeight="false" outlineLevel="0" collapsed="false">
      <c r="A225" s="10" t="s">
        <v>2571</v>
      </c>
      <c r="B225" s="19" t="n">
        <v>1602</v>
      </c>
      <c r="C225" s="19" t="n">
        <v>3</v>
      </c>
      <c r="D225" s="10" t="s">
        <v>1705</v>
      </c>
    </row>
    <row r="226" customFormat="false" ht="15" hidden="false" customHeight="false" outlineLevel="0" collapsed="false">
      <c r="A226" s="10" t="s">
        <v>2572</v>
      </c>
      <c r="B226" s="19" t="n">
        <v>1577</v>
      </c>
      <c r="C226" s="19" t="n">
        <v>8</v>
      </c>
      <c r="D226" s="10" t="s">
        <v>1765</v>
      </c>
    </row>
    <row r="227" customFormat="false" ht="15" hidden="false" customHeight="false" outlineLevel="0" collapsed="false">
      <c r="A227" s="10" t="s">
        <v>2573</v>
      </c>
      <c r="B227" s="19" t="n">
        <v>1552</v>
      </c>
      <c r="C227" s="19" t="n">
        <v>7</v>
      </c>
      <c r="D227" s="10" t="s">
        <v>2351</v>
      </c>
    </row>
    <row r="228" customFormat="false" ht="15" hidden="false" customHeight="false" outlineLevel="0" collapsed="false">
      <c r="A228" s="10" t="s">
        <v>2574</v>
      </c>
      <c r="B228" s="19" t="n">
        <v>1552</v>
      </c>
      <c r="C228" s="19" t="n">
        <v>0</v>
      </c>
      <c r="D228" s="10" t="s">
        <v>1538</v>
      </c>
    </row>
    <row r="229" customFormat="false" ht="15" hidden="false" customHeight="false" outlineLevel="0" collapsed="false">
      <c r="A229" s="10" t="s">
        <v>2575</v>
      </c>
      <c r="B229" s="19" t="n">
        <v>1546</v>
      </c>
      <c r="C229" s="19" t="n">
        <v>2</v>
      </c>
      <c r="D229" s="10" t="s">
        <v>1629</v>
      </c>
    </row>
    <row r="230" customFormat="false" ht="15" hidden="false" customHeight="false" outlineLevel="0" collapsed="false">
      <c r="A230" s="10" t="s">
        <v>2576</v>
      </c>
      <c r="B230" s="19" t="n">
        <v>1504</v>
      </c>
      <c r="C230" s="19" t="n">
        <v>4</v>
      </c>
      <c r="D230" s="10" t="s">
        <v>2358</v>
      </c>
    </row>
    <row r="231" customFormat="false" ht="15" hidden="false" customHeight="false" outlineLevel="0" collapsed="false">
      <c r="A231" s="10" t="s">
        <v>2577</v>
      </c>
      <c r="B231" s="19" t="n">
        <v>1494</v>
      </c>
      <c r="C231" s="19" t="n">
        <v>4</v>
      </c>
      <c r="D231" s="10" t="s">
        <v>1603</v>
      </c>
    </row>
    <row r="232" customFormat="false" ht="15" hidden="false" customHeight="false" outlineLevel="0" collapsed="false">
      <c r="A232" s="10" t="s">
        <v>2578</v>
      </c>
      <c r="B232" s="19" t="n">
        <v>1494</v>
      </c>
      <c r="C232" s="19" t="n">
        <v>0</v>
      </c>
      <c r="D232" s="10" t="s">
        <v>1797</v>
      </c>
    </row>
    <row r="233" customFormat="false" ht="15" hidden="false" customHeight="false" outlineLevel="0" collapsed="false">
      <c r="A233" s="10" t="s">
        <v>2579</v>
      </c>
      <c r="B233" s="19" t="n">
        <v>1489</v>
      </c>
      <c r="C233" s="19" t="n">
        <v>2</v>
      </c>
      <c r="D233" s="10" t="s">
        <v>1603</v>
      </c>
    </row>
    <row r="234" customFormat="false" ht="15" hidden="false" customHeight="false" outlineLevel="0" collapsed="false">
      <c r="A234" s="10" t="s">
        <v>2580</v>
      </c>
      <c r="B234" s="19" t="n">
        <v>1468</v>
      </c>
      <c r="C234" s="19" t="n">
        <v>7</v>
      </c>
      <c r="D234" s="10" t="s">
        <v>1791</v>
      </c>
    </row>
    <row r="235" customFormat="false" ht="15" hidden="false" customHeight="false" outlineLevel="0" collapsed="false">
      <c r="A235" s="10" t="s">
        <v>2581</v>
      </c>
      <c r="B235" s="19" t="n">
        <v>1467</v>
      </c>
      <c r="C235" s="19" t="n">
        <v>9</v>
      </c>
      <c r="D235" s="10" t="s">
        <v>1705</v>
      </c>
    </row>
    <row r="236" customFormat="false" ht="15" hidden="false" customHeight="false" outlineLevel="0" collapsed="false">
      <c r="A236" s="10" t="s">
        <v>2582</v>
      </c>
      <c r="B236" s="19" t="n">
        <v>1458</v>
      </c>
      <c r="C236" s="19" t="n">
        <v>4</v>
      </c>
      <c r="D236" s="10" t="s">
        <v>2358</v>
      </c>
    </row>
    <row r="237" customFormat="false" ht="15" hidden="false" customHeight="false" outlineLevel="0" collapsed="false">
      <c r="A237" s="10" t="s">
        <v>2583</v>
      </c>
      <c r="B237" s="19" t="n">
        <v>1441</v>
      </c>
      <c r="C237" s="19" t="n">
        <v>3</v>
      </c>
      <c r="D237" s="10" t="s">
        <v>2358</v>
      </c>
    </row>
    <row r="238" customFormat="false" ht="15" hidden="false" customHeight="false" outlineLevel="0" collapsed="false">
      <c r="A238" s="10" t="s">
        <v>2584</v>
      </c>
      <c r="B238" s="19" t="n">
        <v>1439</v>
      </c>
      <c r="C238" s="19" t="n">
        <v>0</v>
      </c>
      <c r="D238" s="10" t="s">
        <v>1603</v>
      </c>
    </row>
    <row r="239" customFormat="false" ht="15" hidden="false" customHeight="false" outlineLevel="0" collapsed="false">
      <c r="A239" s="10" t="s">
        <v>2585</v>
      </c>
      <c r="B239" s="19" t="n">
        <v>1417</v>
      </c>
      <c r="C239" s="19" t="n">
        <v>0</v>
      </c>
      <c r="D239" s="10" t="s">
        <v>2358</v>
      </c>
    </row>
    <row r="240" customFormat="false" ht="15" hidden="false" customHeight="false" outlineLevel="0" collapsed="false">
      <c r="A240" s="10" t="s">
        <v>2586</v>
      </c>
      <c r="B240" s="19" t="n">
        <v>1414</v>
      </c>
      <c r="C240" s="19" t="n">
        <v>0</v>
      </c>
      <c r="D240" s="10" t="s">
        <v>2358</v>
      </c>
    </row>
    <row r="241" customFormat="false" ht="15" hidden="false" customHeight="false" outlineLevel="0" collapsed="false">
      <c r="A241" s="10" t="s">
        <v>2587</v>
      </c>
      <c r="B241" s="19" t="n">
        <v>1388</v>
      </c>
      <c r="C241" s="19" t="n">
        <v>0</v>
      </c>
      <c r="D241" s="10" t="s">
        <v>1797</v>
      </c>
    </row>
    <row r="242" customFormat="false" ht="15" hidden="false" customHeight="false" outlineLevel="0" collapsed="false">
      <c r="A242" s="10" t="s">
        <v>2588</v>
      </c>
      <c r="B242" s="19" t="n">
        <v>1377</v>
      </c>
      <c r="C242" s="19" t="n">
        <v>52</v>
      </c>
      <c r="D242" s="10" t="s">
        <v>2351</v>
      </c>
    </row>
    <row r="243" customFormat="false" ht="15" hidden="false" customHeight="false" outlineLevel="0" collapsed="false">
      <c r="A243" s="10" t="s">
        <v>2589</v>
      </c>
      <c r="B243" s="19" t="n">
        <v>1376</v>
      </c>
      <c r="C243" s="19" t="n">
        <v>0</v>
      </c>
      <c r="D243" s="10" t="s">
        <v>2358</v>
      </c>
    </row>
    <row r="244" customFormat="false" ht="15" hidden="false" customHeight="false" outlineLevel="0" collapsed="false">
      <c r="A244" s="10" t="s">
        <v>2590</v>
      </c>
      <c r="B244" s="19" t="n">
        <v>1351</v>
      </c>
      <c r="C244" s="19" t="n">
        <v>1</v>
      </c>
      <c r="D244" s="10" t="s">
        <v>2351</v>
      </c>
    </row>
    <row r="245" customFormat="false" ht="15" hidden="false" customHeight="false" outlineLevel="0" collapsed="false">
      <c r="A245" s="10" t="s">
        <v>2591</v>
      </c>
      <c r="B245" s="19" t="n">
        <v>1347</v>
      </c>
      <c r="C245" s="19" t="n">
        <v>10</v>
      </c>
      <c r="D245" s="10" t="s">
        <v>2351</v>
      </c>
    </row>
    <row r="246" customFormat="false" ht="15" hidden="false" customHeight="false" outlineLevel="0" collapsed="false">
      <c r="A246" s="10" t="s">
        <v>2592</v>
      </c>
      <c r="B246" s="19" t="n">
        <v>1333</v>
      </c>
      <c r="C246" s="19" t="n">
        <v>17</v>
      </c>
      <c r="D246" s="10" t="s">
        <v>2351</v>
      </c>
    </row>
    <row r="247" customFormat="false" ht="15" hidden="false" customHeight="false" outlineLevel="0" collapsed="false">
      <c r="A247" s="10" t="s">
        <v>2593</v>
      </c>
      <c r="B247" s="19" t="n">
        <v>1325</v>
      </c>
      <c r="C247" s="19" t="n">
        <v>0</v>
      </c>
      <c r="D247" s="10" t="s">
        <v>2358</v>
      </c>
    </row>
    <row r="248" customFormat="false" ht="15" hidden="false" customHeight="false" outlineLevel="0" collapsed="false">
      <c r="A248" s="10" t="s">
        <v>2594</v>
      </c>
      <c r="B248" s="19" t="n">
        <v>1322</v>
      </c>
      <c r="C248" s="19" t="n">
        <v>4</v>
      </c>
      <c r="D248" s="10" t="s">
        <v>2351</v>
      </c>
    </row>
    <row r="249" customFormat="false" ht="15" hidden="false" customHeight="false" outlineLevel="0" collapsed="false">
      <c r="A249" s="10" t="s">
        <v>2595</v>
      </c>
      <c r="B249" s="19" t="n">
        <v>1319</v>
      </c>
      <c r="C249" s="19" t="n">
        <v>0</v>
      </c>
      <c r="D249" s="10" t="s">
        <v>2358</v>
      </c>
    </row>
    <row r="250" customFormat="false" ht="15" hidden="false" customHeight="false" outlineLevel="0" collapsed="false">
      <c r="A250" s="10" t="s">
        <v>2596</v>
      </c>
      <c r="B250" s="19" t="n">
        <v>1319</v>
      </c>
      <c r="C250" s="19" t="n">
        <v>3</v>
      </c>
      <c r="D250" s="10" t="s">
        <v>2358</v>
      </c>
    </row>
    <row r="251" customFormat="false" ht="15" hidden="false" customHeight="false" outlineLevel="0" collapsed="false">
      <c r="A251" s="10" t="s">
        <v>2597</v>
      </c>
      <c r="B251" s="19" t="n">
        <v>1310</v>
      </c>
      <c r="C251" s="19" t="n">
        <v>6</v>
      </c>
      <c r="D251" s="10" t="s">
        <v>2351</v>
      </c>
    </row>
    <row r="252" customFormat="false" ht="15" hidden="false" customHeight="false" outlineLevel="0" collapsed="false">
      <c r="A252" s="10" t="s">
        <v>2598</v>
      </c>
      <c r="B252" s="19" t="n">
        <v>1285</v>
      </c>
      <c r="C252" s="19" t="n">
        <v>0</v>
      </c>
      <c r="D252" s="10" t="s">
        <v>2358</v>
      </c>
    </row>
    <row r="253" customFormat="false" ht="15" hidden="false" customHeight="false" outlineLevel="0" collapsed="false">
      <c r="A253" s="10" t="s">
        <v>2599</v>
      </c>
      <c r="B253" s="19" t="n">
        <v>1276</v>
      </c>
      <c r="C253" s="19" t="n">
        <v>0</v>
      </c>
      <c r="D253" s="10" t="s">
        <v>1685</v>
      </c>
    </row>
    <row r="254" customFormat="false" ht="15" hidden="false" customHeight="false" outlineLevel="0" collapsed="false">
      <c r="A254" s="10" t="s">
        <v>2600</v>
      </c>
      <c r="B254" s="19" t="n">
        <v>1272</v>
      </c>
      <c r="C254" s="19" t="n">
        <v>14</v>
      </c>
      <c r="D254" s="10" t="s">
        <v>2351</v>
      </c>
    </row>
    <row r="255" customFormat="false" ht="15" hidden="false" customHeight="false" outlineLevel="0" collapsed="false">
      <c r="A255" s="10" t="s">
        <v>2601</v>
      </c>
      <c r="B255" s="19" t="n">
        <v>1245</v>
      </c>
      <c r="C255" s="19" t="n">
        <v>0</v>
      </c>
      <c r="D255" s="10" t="s">
        <v>1611</v>
      </c>
    </row>
    <row r="256" customFormat="false" ht="15" hidden="false" customHeight="false" outlineLevel="0" collapsed="false">
      <c r="A256" s="10" t="s">
        <v>2602</v>
      </c>
      <c r="B256" s="19" t="n">
        <v>1241</v>
      </c>
      <c r="C256" s="19" t="n">
        <v>3</v>
      </c>
      <c r="D256" s="10" t="s">
        <v>2358</v>
      </c>
    </row>
    <row r="257" customFormat="false" ht="15" hidden="false" customHeight="false" outlineLevel="0" collapsed="false">
      <c r="A257" s="10" t="s">
        <v>2603</v>
      </c>
      <c r="B257" s="19" t="n">
        <v>1238</v>
      </c>
      <c r="C257" s="19" t="n">
        <v>6</v>
      </c>
      <c r="D257" s="10" t="s">
        <v>2358</v>
      </c>
    </row>
    <row r="258" customFormat="false" ht="15" hidden="false" customHeight="false" outlineLevel="0" collapsed="false">
      <c r="A258" s="10" t="s">
        <v>2604</v>
      </c>
      <c r="B258" s="19" t="n">
        <v>1234</v>
      </c>
      <c r="C258" s="19" t="n">
        <v>12</v>
      </c>
      <c r="D258" s="10" t="s">
        <v>2358</v>
      </c>
    </row>
    <row r="259" customFormat="false" ht="15" hidden="false" customHeight="false" outlineLevel="0" collapsed="false">
      <c r="A259" s="10" t="s">
        <v>2605</v>
      </c>
      <c r="B259" s="19" t="n">
        <v>1229</v>
      </c>
      <c r="C259" s="19" t="n">
        <v>11</v>
      </c>
      <c r="D259" s="10" t="s">
        <v>1713</v>
      </c>
    </row>
    <row r="260" customFormat="false" ht="15" hidden="false" customHeight="false" outlineLevel="0" collapsed="false">
      <c r="A260" s="10" t="s">
        <v>2606</v>
      </c>
      <c r="B260" s="19" t="n">
        <v>1227</v>
      </c>
      <c r="C260" s="19" t="n">
        <v>8</v>
      </c>
      <c r="D260" s="10" t="s">
        <v>1733</v>
      </c>
    </row>
    <row r="261" customFormat="false" ht="15" hidden="false" customHeight="false" outlineLevel="0" collapsed="false">
      <c r="A261" s="10" t="s">
        <v>2607</v>
      </c>
      <c r="B261" s="19" t="n">
        <v>1227</v>
      </c>
      <c r="C261" s="19" t="n">
        <v>8</v>
      </c>
      <c r="D261" s="10" t="s">
        <v>1733</v>
      </c>
    </row>
    <row r="262" customFormat="false" ht="15" hidden="false" customHeight="false" outlineLevel="0" collapsed="false">
      <c r="A262" s="10" t="s">
        <v>2608</v>
      </c>
      <c r="B262" s="19" t="n">
        <v>1215</v>
      </c>
      <c r="C262" s="19" t="n">
        <v>0</v>
      </c>
      <c r="D262" s="10" t="s">
        <v>2358</v>
      </c>
    </row>
    <row r="263" customFormat="false" ht="15" hidden="false" customHeight="false" outlineLevel="0" collapsed="false">
      <c r="A263" s="10" t="s">
        <v>2609</v>
      </c>
      <c r="B263" s="19" t="n">
        <v>1198</v>
      </c>
      <c r="C263" s="19" t="n">
        <v>0</v>
      </c>
      <c r="D263" s="10" t="s">
        <v>2358</v>
      </c>
    </row>
    <row r="264" customFormat="false" ht="15" hidden="false" customHeight="false" outlineLevel="0" collapsed="false">
      <c r="A264" s="10" t="s">
        <v>2610</v>
      </c>
      <c r="B264" s="19" t="n">
        <v>1198</v>
      </c>
      <c r="C264" s="19" t="n">
        <v>2</v>
      </c>
      <c r="D264" s="10" t="s">
        <v>2351</v>
      </c>
    </row>
    <row r="265" customFormat="false" ht="15" hidden="false" customHeight="false" outlineLevel="0" collapsed="false">
      <c r="A265" s="10" t="s">
        <v>2611</v>
      </c>
      <c r="B265" s="19" t="n">
        <v>1196</v>
      </c>
      <c r="C265" s="19" t="n">
        <v>1</v>
      </c>
      <c r="D265" s="10" t="s">
        <v>2358</v>
      </c>
    </row>
    <row r="266" customFormat="false" ht="15" hidden="false" customHeight="false" outlineLevel="0" collapsed="false">
      <c r="A266" s="10" t="s">
        <v>2612</v>
      </c>
      <c r="B266" s="19" t="n">
        <v>1191</v>
      </c>
      <c r="C266" s="19" t="n">
        <v>9</v>
      </c>
      <c r="D266" s="10" t="s">
        <v>1603</v>
      </c>
    </row>
    <row r="267" customFormat="false" ht="15" hidden="false" customHeight="false" outlineLevel="0" collapsed="false">
      <c r="A267" s="10" t="s">
        <v>2613</v>
      </c>
      <c r="B267" s="19" t="n">
        <v>1187</v>
      </c>
      <c r="C267" s="19" t="n">
        <v>0</v>
      </c>
      <c r="D267" s="10" t="s">
        <v>1789</v>
      </c>
    </row>
    <row r="268" customFormat="false" ht="15" hidden="false" customHeight="false" outlineLevel="0" collapsed="false">
      <c r="A268" s="10" t="s">
        <v>2614</v>
      </c>
      <c r="B268" s="19" t="n">
        <v>1173</v>
      </c>
      <c r="C268" s="19" t="n">
        <v>1</v>
      </c>
      <c r="D268" s="10" t="s">
        <v>2351</v>
      </c>
    </row>
    <row r="269" customFormat="false" ht="15" hidden="false" customHeight="false" outlineLevel="0" collapsed="false">
      <c r="A269" s="10" t="s">
        <v>2615</v>
      </c>
      <c r="B269" s="19" t="n">
        <v>1167</v>
      </c>
      <c r="C269" s="19" t="n">
        <v>24</v>
      </c>
      <c r="D269" s="10" t="s">
        <v>1733</v>
      </c>
    </row>
    <row r="270" customFormat="false" ht="15" hidden="false" customHeight="false" outlineLevel="0" collapsed="false">
      <c r="A270" s="10" t="s">
        <v>2616</v>
      </c>
      <c r="B270" s="19" t="n">
        <v>1165</v>
      </c>
      <c r="C270" s="19" t="n">
        <v>0</v>
      </c>
      <c r="D270" s="10" t="s">
        <v>2358</v>
      </c>
    </row>
    <row r="271" customFormat="false" ht="15" hidden="false" customHeight="false" outlineLevel="0" collapsed="false">
      <c r="A271" s="10" t="s">
        <v>2617</v>
      </c>
      <c r="B271" s="19" t="n">
        <v>1153</v>
      </c>
      <c r="C271" s="19" t="n">
        <v>10</v>
      </c>
      <c r="D271" s="10" t="s">
        <v>2351</v>
      </c>
    </row>
    <row r="272" customFormat="false" ht="15" hidden="false" customHeight="false" outlineLevel="0" collapsed="false">
      <c r="A272" s="10" t="s">
        <v>2618</v>
      </c>
      <c r="B272" s="19" t="n">
        <v>1133</v>
      </c>
      <c r="C272" s="19" t="n">
        <v>0</v>
      </c>
      <c r="D272" s="10" t="s">
        <v>2358</v>
      </c>
    </row>
    <row r="273" customFormat="false" ht="15" hidden="false" customHeight="false" outlineLevel="0" collapsed="false">
      <c r="A273" s="10" t="s">
        <v>2619</v>
      </c>
      <c r="B273" s="19" t="n">
        <v>1113</v>
      </c>
      <c r="C273" s="19" t="n">
        <v>1</v>
      </c>
      <c r="D273" s="10" t="s">
        <v>2351</v>
      </c>
    </row>
    <row r="274" customFormat="false" ht="15" hidden="false" customHeight="false" outlineLevel="0" collapsed="false">
      <c r="A274" s="10" t="s">
        <v>2620</v>
      </c>
      <c r="B274" s="19" t="n">
        <v>1103</v>
      </c>
      <c r="C274" s="19" t="n">
        <v>0</v>
      </c>
      <c r="D274" s="10" t="s">
        <v>1685</v>
      </c>
    </row>
    <row r="275" customFormat="false" ht="15" hidden="false" customHeight="false" outlineLevel="0" collapsed="false">
      <c r="A275" s="10" t="s">
        <v>2621</v>
      </c>
      <c r="B275" s="19" t="n">
        <v>1091</v>
      </c>
      <c r="C275" s="19" t="n">
        <v>0</v>
      </c>
      <c r="D275" s="10" t="s">
        <v>2358</v>
      </c>
    </row>
    <row r="276" customFormat="false" ht="15" hidden="false" customHeight="false" outlineLevel="0" collapsed="false">
      <c r="A276" s="10" t="s">
        <v>2622</v>
      </c>
      <c r="B276" s="19" t="n">
        <v>1090</v>
      </c>
      <c r="C276" s="19" t="n">
        <v>14</v>
      </c>
      <c r="D276" s="10" t="s">
        <v>1765</v>
      </c>
    </row>
    <row r="277" customFormat="false" ht="15" hidden="false" customHeight="false" outlineLevel="0" collapsed="false">
      <c r="A277" s="10" t="s">
        <v>2623</v>
      </c>
      <c r="B277" s="19" t="n">
        <v>1090</v>
      </c>
      <c r="C277" s="19" t="n">
        <v>18</v>
      </c>
      <c r="D277" s="10" t="s">
        <v>2358</v>
      </c>
    </row>
    <row r="278" customFormat="false" ht="15" hidden="false" customHeight="false" outlineLevel="0" collapsed="false">
      <c r="A278" s="10" t="s">
        <v>2624</v>
      </c>
      <c r="B278" s="19" t="n">
        <v>1089</v>
      </c>
      <c r="C278" s="19" t="n">
        <v>9</v>
      </c>
      <c r="D278" s="10" t="s">
        <v>2358</v>
      </c>
    </row>
    <row r="279" customFormat="false" ht="15" hidden="false" customHeight="false" outlineLevel="0" collapsed="false">
      <c r="A279" s="10" t="s">
        <v>2625</v>
      </c>
      <c r="B279" s="19" t="n">
        <v>1085</v>
      </c>
      <c r="C279" s="19" t="n">
        <v>32</v>
      </c>
      <c r="D279" s="10" t="s">
        <v>2358</v>
      </c>
    </row>
    <row r="280" customFormat="false" ht="15" hidden="false" customHeight="false" outlineLevel="0" collapsed="false">
      <c r="A280" s="10" t="s">
        <v>2626</v>
      </c>
      <c r="B280" s="19" t="n">
        <v>1085</v>
      </c>
      <c r="C280" s="19" t="n">
        <v>24</v>
      </c>
      <c r="D280" s="10" t="s">
        <v>2358</v>
      </c>
    </row>
    <row r="281" customFormat="false" ht="15" hidden="false" customHeight="false" outlineLevel="0" collapsed="false">
      <c r="A281" s="10" t="s">
        <v>2627</v>
      </c>
      <c r="B281" s="19" t="n">
        <v>1063</v>
      </c>
      <c r="C281" s="19" t="n">
        <v>3</v>
      </c>
      <c r="D281" s="10" t="s">
        <v>1765</v>
      </c>
    </row>
    <row r="282" customFormat="false" ht="15" hidden="false" customHeight="false" outlineLevel="0" collapsed="false">
      <c r="A282" s="10" t="s">
        <v>2628</v>
      </c>
      <c r="B282" s="19" t="n">
        <v>1061</v>
      </c>
      <c r="C282" s="19" t="n">
        <v>3</v>
      </c>
      <c r="D282" s="10" t="s">
        <v>2358</v>
      </c>
    </row>
    <row r="283" customFormat="false" ht="15" hidden="false" customHeight="false" outlineLevel="0" collapsed="false">
      <c r="A283" s="10" t="s">
        <v>2629</v>
      </c>
      <c r="B283" s="19" t="n">
        <v>1054</v>
      </c>
      <c r="C283" s="19" t="n">
        <v>3</v>
      </c>
      <c r="D283" s="10" t="s">
        <v>2358</v>
      </c>
    </row>
    <row r="284" customFormat="false" ht="15" hidden="false" customHeight="false" outlineLevel="0" collapsed="false">
      <c r="A284" s="10" t="s">
        <v>2630</v>
      </c>
      <c r="B284" s="19" t="n">
        <v>1052</v>
      </c>
      <c r="C284" s="19" t="n">
        <v>3</v>
      </c>
      <c r="D284" s="10" t="s">
        <v>1791</v>
      </c>
    </row>
    <row r="285" customFormat="false" ht="15" hidden="false" customHeight="false" outlineLevel="0" collapsed="false">
      <c r="A285" s="10" t="s">
        <v>2631</v>
      </c>
      <c r="B285" s="19" t="n">
        <v>1040</v>
      </c>
      <c r="C285" s="19" t="n">
        <v>0</v>
      </c>
      <c r="D285" s="10" t="s">
        <v>2358</v>
      </c>
    </row>
    <row r="286" customFormat="false" ht="15" hidden="false" customHeight="false" outlineLevel="0" collapsed="false">
      <c r="A286" s="10" t="s">
        <v>2632</v>
      </c>
      <c r="B286" s="19" t="n">
        <v>1037</v>
      </c>
      <c r="C286" s="19" t="n">
        <v>33</v>
      </c>
      <c r="D286" s="10" t="s">
        <v>1705</v>
      </c>
    </row>
    <row r="287" customFormat="false" ht="15" hidden="false" customHeight="false" outlineLevel="0" collapsed="false">
      <c r="A287" s="10" t="s">
        <v>2633</v>
      </c>
      <c r="B287" s="19" t="n">
        <v>1034</v>
      </c>
      <c r="C287" s="19" t="n">
        <v>0</v>
      </c>
      <c r="D287" s="10" t="s">
        <v>2358</v>
      </c>
    </row>
    <row r="288" customFormat="false" ht="15" hidden="false" customHeight="false" outlineLevel="0" collapsed="false">
      <c r="A288" s="10" t="s">
        <v>2634</v>
      </c>
      <c r="B288" s="19" t="n">
        <v>1031</v>
      </c>
      <c r="C288" s="19" t="n">
        <v>0</v>
      </c>
      <c r="D288" s="10" t="s">
        <v>2358</v>
      </c>
    </row>
    <row r="289" customFormat="false" ht="15" hidden="false" customHeight="false" outlineLevel="0" collapsed="false">
      <c r="A289" s="10" t="s">
        <v>2635</v>
      </c>
      <c r="B289" s="19" t="n">
        <v>1030</v>
      </c>
      <c r="C289" s="19" t="n">
        <v>0</v>
      </c>
      <c r="D289" s="10" t="s">
        <v>1795</v>
      </c>
    </row>
    <row r="290" customFormat="false" ht="15" hidden="false" customHeight="false" outlineLevel="0" collapsed="false">
      <c r="A290" s="10" t="s">
        <v>2636</v>
      </c>
      <c r="B290" s="19" t="n">
        <v>1030</v>
      </c>
      <c r="C290" s="19" t="n">
        <v>0</v>
      </c>
      <c r="D290" s="10" t="s">
        <v>2358</v>
      </c>
    </row>
    <row r="291" customFormat="false" ht="15" hidden="false" customHeight="false" outlineLevel="0" collapsed="false">
      <c r="A291" s="10" t="s">
        <v>2637</v>
      </c>
      <c r="B291" s="19" t="n">
        <v>1019</v>
      </c>
      <c r="C291" s="19" t="n">
        <v>0</v>
      </c>
      <c r="D291" s="10" t="s">
        <v>1765</v>
      </c>
    </row>
    <row r="292" customFormat="false" ht="15" hidden="false" customHeight="false" outlineLevel="0" collapsed="false">
      <c r="A292" s="10" t="s">
        <v>2638</v>
      </c>
      <c r="B292" s="19" t="n">
        <v>1017</v>
      </c>
      <c r="C292" s="19" t="n">
        <v>0</v>
      </c>
      <c r="D292" s="10" t="s">
        <v>2358</v>
      </c>
    </row>
    <row r="293" customFormat="false" ht="15" hidden="false" customHeight="false" outlineLevel="0" collapsed="false">
      <c r="A293" s="10" t="s">
        <v>2639</v>
      </c>
      <c r="B293" s="19" t="n">
        <v>1013</v>
      </c>
      <c r="C293" s="19" t="n">
        <v>13</v>
      </c>
      <c r="D293" s="10" t="s">
        <v>2358</v>
      </c>
    </row>
    <row r="294" customFormat="false" ht="15" hidden="false" customHeight="false" outlineLevel="0" collapsed="false">
      <c r="A294" s="10" t="s">
        <v>2640</v>
      </c>
      <c r="B294" s="19" t="n">
        <v>1011</v>
      </c>
      <c r="C294" s="19" t="n">
        <v>0</v>
      </c>
      <c r="D294" s="10" t="s">
        <v>2358</v>
      </c>
    </row>
    <row r="295" customFormat="false" ht="15" hidden="false" customHeight="false" outlineLevel="0" collapsed="false">
      <c r="A295" s="10" t="s">
        <v>2641</v>
      </c>
      <c r="B295" s="19" t="n">
        <v>998</v>
      </c>
      <c r="C295" s="19" t="n">
        <v>0</v>
      </c>
      <c r="D295" s="10" t="s">
        <v>2358</v>
      </c>
    </row>
    <row r="296" customFormat="false" ht="15" hidden="false" customHeight="false" outlineLevel="0" collapsed="false">
      <c r="A296" s="10" t="s">
        <v>2642</v>
      </c>
      <c r="B296" s="19" t="n">
        <v>975</v>
      </c>
      <c r="C296" s="19" t="n">
        <v>8</v>
      </c>
      <c r="D296" s="10" t="s">
        <v>1603</v>
      </c>
    </row>
    <row r="297" customFormat="false" ht="15" hidden="false" customHeight="false" outlineLevel="0" collapsed="false">
      <c r="A297" s="10" t="s">
        <v>2643</v>
      </c>
      <c r="B297" s="19" t="n">
        <v>970</v>
      </c>
      <c r="C297" s="19" t="n">
        <v>1</v>
      </c>
      <c r="D297" s="10" t="s">
        <v>2358</v>
      </c>
    </row>
    <row r="298" customFormat="false" ht="15" hidden="false" customHeight="false" outlineLevel="0" collapsed="false">
      <c r="A298" s="10" t="s">
        <v>2644</v>
      </c>
      <c r="B298" s="19" t="n">
        <v>967</v>
      </c>
      <c r="C298" s="19" t="n">
        <v>2</v>
      </c>
      <c r="D298" s="10" t="s">
        <v>2358</v>
      </c>
    </row>
    <row r="299" customFormat="false" ht="15" hidden="false" customHeight="false" outlineLevel="0" collapsed="false">
      <c r="A299" s="10" t="s">
        <v>2645</v>
      </c>
      <c r="B299" s="19" t="n">
        <v>966</v>
      </c>
      <c r="C299" s="19" t="n">
        <v>0</v>
      </c>
      <c r="D299" s="10" t="s">
        <v>2358</v>
      </c>
    </row>
    <row r="300" customFormat="false" ht="15" hidden="false" customHeight="false" outlineLevel="0" collapsed="false">
      <c r="A300" s="10" t="s">
        <v>2646</v>
      </c>
      <c r="B300" s="19" t="n">
        <v>958</v>
      </c>
      <c r="C300" s="19" t="n">
        <v>1</v>
      </c>
      <c r="D300" s="10" t="s">
        <v>2358</v>
      </c>
    </row>
    <row r="301" customFormat="false" ht="15" hidden="false" customHeight="false" outlineLevel="0" collapsed="false">
      <c r="A301" s="10" t="s">
        <v>2647</v>
      </c>
      <c r="B301" s="19" t="n">
        <v>957</v>
      </c>
      <c r="C301" s="19" t="n">
        <v>9</v>
      </c>
      <c r="D301" s="10" t="s">
        <v>1713</v>
      </c>
    </row>
    <row r="302" customFormat="false" ht="15" hidden="false" customHeight="false" outlineLevel="0" collapsed="false">
      <c r="A302" s="10" t="s">
        <v>2648</v>
      </c>
      <c r="B302" s="19" t="n">
        <v>940</v>
      </c>
      <c r="C302" s="19" t="n">
        <v>13</v>
      </c>
      <c r="D302" s="10" t="s">
        <v>2351</v>
      </c>
    </row>
    <row r="303" customFormat="false" ht="15" hidden="false" customHeight="false" outlineLevel="0" collapsed="false">
      <c r="A303" s="10" t="s">
        <v>2649</v>
      </c>
      <c r="B303" s="19" t="n">
        <v>932</v>
      </c>
      <c r="C303" s="19" t="n">
        <v>3</v>
      </c>
      <c r="D303" s="10" t="s">
        <v>2351</v>
      </c>
    </row>
    <row r="304" customFormat="false" ht="15" hidden="false" customHeight="false" outlineLevel="0" collapsed="false">
      <c r="A304" s="10" t="s">
        <v>2650</v>
      </c>
      <c r="B304" s="19" t="n">
        <v>927</v>
      </c>
      <c r="C304" s="19" t="n">
        <v>10</v>
      </c>
      <c r="D304" s="10" t="s">
        <v>2358</v>
      </c>
    </row>
    <row r="305" customFormat="false" ht="15" hidden="false" customHeight="false" outlineLevel="0" collapsed="false">
      <c r="A305" s="10" t="s">
        <v>2651</v>
      </c>
      <c r="B305" s="19" t="n">
        <v>924</v>
      </c>
      <c r="C305" s="19" t="n">
        <v>3</v>
      </c>
      <c r="D305" s="10" t="s">
        <v>2358</v>
      </c>
    </row>
    <row r="306" customFormat="false" ht="15" hidden="false" customHeight="false" outlineLevel="0" collapsed="false">
      <c r="A306" s="10" t="s">
        <v>2652</v>
      </c>
      <c r="B306" s="19" t="n">
        <v>919</v>
      </c>
      <c r="C306" s="19" t="n">
        <v>0</v>
      </c>
      <c r="D306" s="10" t="s">
        <v>1811</v>
      </c>
    </row>
    <row r="307" customFormat="false" ht="15" hidden="false" customHeight="false" outlineLevel="0" collapsed="false">
      <c r="A307" s="10" t="s">
        <v>2653</v>
      </c>
      <c r="B307" s="19" t="n">
        <v>912</v>
      </c>
      <c r="C307" s="19" t="n">
        <v>0</v>
      </c>
      <c r="D307" s="10" t="s">
        <v>2358</v>
      </c>
    </row>
    <row r="308" customFormat="false" ht="15" hidden="false" customHeight="false" outlineLevel="0" collapsed="false">
      <c r="A308" s="10" t="s">
        <v>2654</v>
      </c>
      <c r="B308" s="19" t="n">
        <v>911</v>
      </c>
      <c r="C308" s="19" t="n">
        <v>11</v>
      </c>
      <c r="D308" s="10" t="s">
        <v>2351</v>
      </c>
    </row>
    <row r="309" customFormat="false" ht="15" hidden="false" customHeight="false" outlineLevel="0" collapsed="false">
      <c r="A309" s="10" t="s">
        <v>2655</v>
      </c>
      <c r="B309" s="19" t="n">
        <v>907</v>
      </c>
      <c r="C309" s="19" t="n">
        <v>12</v>
      </c>
      <c r="D309" s="10" t="s">
        <v>1631</v>
      </c>
    </row>
    <row r="310" customFormat="false" ht="15" hidden="false" customHeight="false" outlineLevel="0" collapsed="false">
      <c r="A310" s="10" t="s">
        <v>2656</v>
      </c>
      <c r="B310" s="19" t="n">
        <v>898</v>
      </c>
      <c r="C310" s="19" t="n">
        <v>0</v>
      </c>
      <c r="D310" s="10" t="s">
        <v>2358</v>
      </c>
    </row>
    <row r="311" customFormat="false" ht="15" hidden="false" customHeight="false" outlineLevel="0" collapsed="false">
      <c r="A311" s="10" t="s">
        <v>2657</v>
      </c>
      <c r="B311" s="19" t="n">
        <v>894</v>
      </c>
      <c r="C311" s="19" t="n">
        <v>0</v>
      </c>
      <c r="D311" s="10" t="s">
        <v>1685</v>
      </c>
    </row>
    <row r="312" customFormat="false" ht="15" hidden="false" customHeight="false" outlineLevel="0" collapsed="false">
      <c r="A312" s="10" t="s">
        <v>2658</v>
      </c>
      <c r="B312" s="19" t="n">
        <v>882</v>
      </c>
      <c r="C312" s="19" t="n">
        <v>10</v>
      </c>
      <c r="D312" s="10" t="s">
        <v>1705</v>
      </c>
    </row>
    <row r="313" customFormat="false" ht="15" hidden="false" customHeight="false" outlineLevel="0" collapsed="false">
      <c r="A313" s="10" t="s">
        <v>2659</v>
      </c>
      <c r="B313" s="19" t="n">
        <v>879</v>
      </c>
      <c r="C313" s="19" t="n">
        <v>0</v>
      </c>
      <c r="D313" s="10" t="s">
        <v>2358</v>
      </c>
    </row>
    <row r="314" customFormat="false" ht="15" hidden="false" customHeight="false" outlineLevel="0" collapsed="false">
      <c r="A314" s="10" t="s">
        <v>2660</v>
      </c>
      <c r="B314" s="19" t="n">
        <v>876</v>
      </c>
      <c r="C314" s="19" t="n">
        <v>2</v>
      </c>
      <c r="D314" s="10" t="s">
        <v>1835</v>
      </c>
    </row>
    <row r="315" customFormat="false" ht="15" hidden="false" customHeight="false" outlineLevel="0" collapsed="false">
      <c r="A315" s="10" t="s">
        <v>2661</v>
      </c>
      <c r="B315" s="19" t="n">
        <v>863</v>
      </c>
      <c r="C315" s="19" t="n">
        <v>5</v>
      </c>
      <c r="D315" s="10" t="s">
        <v>1787</v>
      </c>
    </row>
    <row r="316" customFormat="false" ht="15" hidden="false" customHeight="false" outlineLevel="0" collapsed="false">
      <c r="A316" s="10" t="s">
        <v>2662</v>
      </c>
      <c r="B316" s="19" t="n">
        <v>851</v>
      </c>
      <c r="C316" s="19" t="n">
        <v>6</v>
      </c>
      <c r="D316" s="10" t="s">
        <v>1705</v>
      </c>
    </row>
    <row r="317" customFormat="false" ht="15" hidden="false" customHeight="false" outlineLevel="0" collapsed="false">
      <c r="A317" s="10" t="s">
        <v>2663</v>
      </c>
      <c r="B317" s="19" t="n">
        <v>851</v>
      </c>
      <c r="C317" s="19" t="n">
        <v>0</v>
      </c>
      <c r="D317" s="10" t="s">
        <v>2358</v>
      </c>
    </row>
    <row r="318" customFormat="false" ht="15" hidden="false" customHeight="false" outlineLevel="0" collapsed="false">
      <c r="A318" s="10" t="s">
        <v>2664</v>
      </c>
      <c r="B318" s="19" t="n">
        <v>851</v>
      </c>
      <c r="C318" s="19" t="n">
        <v>8</v>
      </c>
      <c r="D318" s="10" t="s">
        <v>1795</v>
      </c>
    </row>
    <row r="319" customFormat="false" ht="15" hidden="false" customHeight="false" outlineLevel="0" collapsed="false">
      <c r="A319" s="10" t="s">
        <v>2665</v>
      </c>
      <c r="B319" s="19" t="n">
        <v>849</v>
      </c>
      <c r="C319" s="19" t="n">
        <v>1</v>
      </c>
      <c r="D319" s="10" t="s">
        <v>2358</v>
      </c>
    </row>
    <row r="320" customFormat="false" ht="15" hidden="false" customHeight="false" outlineLevel="0" collapsed="false">
      <c r="A320" s="10" t="s">
        <v>2666</v>
      </c>
      <c r="B320" s="19" t="n">
        <v>846</v>
      </c>
      <c r="C320" s="19" t="n">
        <v>0</v>
      </c>
      <c r="D320" s="10" t="s">
        <v>2358</v>
      </c>
    </row>
    <row r="321" customFormat="false" ht="15" hidden="false" customHeight="false" outlineLevel="0" collapsed="false">
      <c r="A321" s="10" t="s">
        <v>2667</v>
      </c>
      <c r="B321" s="19" t="n">
        <v>846</v>
      </c>
      <c r="C321" s="19" t="n">
        <v>0</v>
      </c>
      <c r="D321" s="10" t="s">
        <v>2358</v>
      </c>
    </row>
    <row r="322" customFormat="false" ht="15" hidden="false" customHeight="false" outlineLevel="0" collapsed="false">
      <c r="A322" s="10" t="s">
        <v>2668</v>
      </c>
      <c r="B322" s="19" t="n">
        <v>844</v>
      </c>
      <c r="C322" s="19" t="n">
        <v>0</v>
      </c>
      <c r="D322" s="10" t="s">
        <v>1611</v>
      </c>
    </row>
    <row r="323" customFormat="false" ht="15" hidden="false" customHeight="false" outlineLevel="0" collapsed="false">
      <c r="A323" s="10" t="s">
        <v>2669</v>
      </c>
      <c r="B323" s="19" t="n">
        <v>837</v>
      </c>
      <c r="C323" s="19" t="n">
        <v>1</v>
      </c>
      <c r="D323" s="10" t="s">
        <v>2358</v>
      </c>
    </row>
    <row r="324" customFormat="false" ht="15" hidden="false" customHeight="false" outlineLevel="0" collapsed="false">
      <c r="A324" s="10" t="s">
        <v>2670</v>
      </c>
      <c r="B324" s="19" t="n">
        <v>837</v>
      </c>
      <c r="C324" s="19" t="n">
        <v>1</v>
      </c>
      <c r="D324" s="10" t="s">
        <v>2358</v>
      </c>
    </row>
    <row r="325" customFormat="false" ht="15" hidden="false" customHeight="false" outlineLevel="0" collapsed="false">
      <c r="A325" s="10" t="s">
        <v>2671</v>
      </c>
      <c r="B325" s="19" t="n">
        <v>837</v>
      </c>
      <c r="C325" s="19" t="n">
        <v>1</v>
      </c>
      <c r="D325" s="10" t="s">
        <v>2358</v>
      </c>
    </row>
    <row r="326" customFormat="false" ht="15" hidden="false" customHeight="false" outlineLevel="0" collapsed="false">
      <c r="A326" s="10" t="s">
        <v>2672</v>
      </c>
      <c r="B326" s="19" t="n">
        <v>835</v>
      </c>
      <c r="C326" s="19" t="n">
        <v>14</v>
      </c>
      <c r="D326" s="10" t="s">
        <v>1705</v>
      </c>
    </row>
    <row r="327" customFormat="false" ht="15" hidden="false" customHeight="false" outlineLevel="0" collapsed="false">
      <c r="A327" s="10" t="s">
        <v>2673</v>
      </c>
      <c r="B327" s="19" t="n">
        <v>830</v>
      </c>
      <c r="C327" s="19" t="n">
        <v>0</v>
      </c>
      <c r="D327" s="10" t="s">
        <v>2351</v>
      </c>
    </row>
    <row r="328" customFormat="false" ht="15" hidden="false" customHeight="false" outlineLevel="0" collapsed="false">
      <c r="A328" s="10" t="s">
        <v>2674</v>
      </c>
      <c r="B328" s="19" t="n">
        <v>828</v>
      </c>
      <c r="C328" s="19" t="n">
        <v>6</v>
      </c>
      <c r="D328" s="10" t="s">
        <v>1833</v>
      </c>
    </row>
    <row r="329" customFormat="false" ht="15" hidden="false" customHeight="false" outlineLevel="0" collapsed="false">
      <c r="A329" s="10" t="s">
        <v>2675</v>
      </c>
      <c r="B329" s="19" t="n">
        <v>818</v>
      </c>
      <c r="C329" s="19" t="n">
        <v>2</v>
      </c>
      <c r="D329" s="10" t="s">
        <v>1603</v>
      </c>
    </row>
    <row r="330" customFormat="false" ht="15" hidden="false" customHeight="false" outlineLevel="0" collapsed="false">
      <c r="A330" s="10" t="s">
        <v>2676</v>
      </c>
      <c r="B330" s="19" t="n">
        <v>813</v>
      </c>
      <c r="C330" s="19" t="n">
        <v>1</v>
      </c>
      <c r="D330" s="10" t="s">
        <v>2358</v>
      </c>
    </row>
    <row r="331" customFormat="false" ht="15" hidden="false" customHeight="false" outlineLevel="0" collapsed="false">
      <c r="A331" s="10" t="s">
        <v>2677</v>
      </c>
      <c r="B331" s="19" t="n">
        <v>813</v>
      </c>
      <c r="C331" s="19" t="n">
        <v>2</v>
      </c>
      <c r="D331" s="10" t="s">
        <v>2351</v>
      </c>
    </row>
    <row r="332" customFormat="false" ht="15" hidden="false" customHeight="false" outlineLevel="0" collapsed="false">
      <c r="A332" s="10" t="s">
        <v>2678</v>
      </c>
      <c r="B332" s="19" t="n">
        <v>809</v>
      </c>
      <c r="C332" s="19" t="n">
        <v>15</v>
      </c>
      <c r="D332" s="10" t="s">
        <v>1705</v>
      </c>
    </row>
    <row r="333" customFormat="false" ht="15" hidden="false" customHeight="false" outlineLevel="0" collapsed="false">
      <c r="A333" s="10" t="s">
        <v>2679</v>
      </c>
      <c r="B333" s="19" t="n">
        <v>808</v>
      </c>
      <c r="C333" s="19" t="n">
        <v>0</v>
      </c>
      <c r="D333" s="10" t="s">
        <v>1468</v>
      </c>
    </row>
    <row r="334" customFormat="false" ht="15" hidden="false" customHeight="false" outlineLevel="0" collapsed="false">
      <c r="A334" s="10" t="s">
        <v>2680</v>
      </c>
      <c r="B334" s="19" t="n">
        <v>794</v>
      </c>
      <c r="C334" s="19" t="n">
        <v>0</v>
      </c>
      <c r="D334" s="10" t="s">
        <v>2358</v>
      </c>
    </row>
    <row r="335" customFormat="false" ht="15" hidden="false" customHeight="false" outlineLevel="0" collapsed="false">
      <c r="A335" s="10" t="s">
        <v>2681</v>
      </c>
      <c r="B335" s="19" t="n">
        <v>784</v>
      </c>
      <c r="C335" s="19" t="n">
        <v>0</v>
      </c>
      <c r="D335" s="10" t="s">
        <v>2358</v>
      </c>
    </row>
    <row r="336" customFormat="false" ht="15" hidden="false" customHeight="false" outlineLevel="0" collapsed="false">
      <c r="A336" s="10" t="s">
        <v>2682</v>
      </c>
      <c r="B336" s="19" t="n">
        <v>772</v>
      </c>
      <c r="C336" s="19" t="n">
        <v>0</v>
      </c>
      <c r="D336" s="10" t="s">
        <v>2358</v>
      </c>
    </row>
    <row r="337" customFormat="false" ht="15" hidden="false" customHeight="false" outlineLevel="0" collapsed="false">
      <c r="A337" s="10" t="s">
        <v>2683</v>
      </c>
      <c r="B337" s="19" t="n">
        <v>770</v>
      </c>
      <c r="C337" s="19" t="n">
        <v>1</v>
      </c>
      <c r="D337" s="10" t="s">
        <v>2358</v>
      </c>
    </row>
    <row r="338" customFormat="false" ht="15" hidden="false" customHeight="false" outlineLevel="0" collapsed="false">
      <c r="A338" s="10" t="s">
        <v>2684</v>
      </c>
      <c r="B338" s="19" t="n">
        <v>765</v>
      </c>
      <c r="C338" s="19" t="n">
        <v>2</v>
      </c>
      <c r="D338" s="10" t="s">
        <v>1755</v>
      </c>
    </row>
    <row r="339" customFormat="false" ht="15" hidden="false" customHeight="false" outlineLevel="0" collapsed="false">
      <c r="A339" s="10" t="s">
        <v>2685</v>
      </c>
      <c r="B339" s="19" t="n">
        <v>761</v>
      </c>
      <c r="C339" s="19" t="n">
        <v>12</v>
      </c>
      <c r="D339" s="10" t="s">
        <v>2358</v>
      </c>
    </row>
    <row r="340" customFormat="false" ht="15" hidden="false" customHeight="false" outlineLevel="0" collapsed="false">
      <c r="A340" s="10" t="s">
        <v>2686</v>
      </c>
      <c r="B340" s="19" t="n">
        <v>761</v>
      </c>
      <c r="C340" s="19" t="n">
        <v>0</v>
      </c>
      <c r="D340" s="10" t="s">
        <v>1591</v>
      </c>
    </row>
    <row r="341" customFormat="false" ht="15" hidden="false" customHeight="false" outlineLevel="0" collapsed="false">
      <c r="A341" s="10" t="s">
        <v>2687</v>
      </c>
      <c r="B341" s="19" t="n">
        <v>750</v>
      </c>
      <c r="C341" s="19" t="n">
        <v>0</v>
      </c>
      <c r="D341" s="10" t="s">
        <v>1542</v>
      </c>
    </row>
    <row r="342" customFormat="false" ht="15" hidden="false" customHeight="false" outlineLevel="0" collapsed="false">
      <c r="A342" s="10" t="s">
        <v>2688</v>
      </c>
      <c r="B342" s="19" t="n">
        <v>749</v>
      </c>
      <c r="C342" s="19" t="n">
        <v>0</v>
      </c>
      <c r="D342" s="10" t="s">
        <v>1536</v>
      </c>
    </row>
    <row r="343" customFormat="false" ht="15" hidden="false" customHeight="false" outlineLevel="0" collapsed="false">
      <c r="A343" s="10" t="s">
        <v>2689</v>
      </c>
      <c r="B343" s="19" t="n">
        <v>742</v>
      </c>
      <c r="C343" s="19" t="n">
        <v>0</v>
      </c>
      <c r="D343" s="10" t="s">
        <v>2358</v>
      </c>
    </row>
    <row r="344" customFormat="false" ht="15" hidden="false" customHeight="false" outlineLevel="0" collapsed="false">
      <c r="A344" s="10" t="s">
        <v>2690</v>
      </c>
      <c r="B344" s="19" t="n">
        <v>738</v>
      </c>
      <c r="C344" s="19" t="n">
        <v>0</v>
      </c>
      <c r="D344" s="10" t="s">
        <v>1781</v>
      </c>
    </row>
    <row r="345" customFormat="false" ht="15" hidden="false" customHeight="false" outlineLevel="0" collapsed="false">
      <c r="A345" s="10" t="s">
        <v>2691</v>
      </c>
      <c r="B345" s="19" t="n">
        <v>737</v>
      </c>
      <c r="C345" s="19" t="n">
        <v>14</v>
      </c>
      <c r="D345" s="10" t="s">
        <v>1705</v>
      </c>
    </row>
    <row r="346" customFormat="false" ht="15" hidden="false" customHeight="false" outlineLevel="0" collapsed="false">
      <c r="A346" s="10" t="s">
        <v>2692</v>
      </c>
      <c r="B346" s="19" t="n">
        <v>731</v>
      </c>
      <c r="C346" s="19" t="n">
        <v>0</v>
      </c>
      <c r="D346" s="10" t="s">
        <v>1635</v>
      </c>
    </row>
    <row r="347" customFormat="false" ht="15" hidden="false" customHeight="false" outlineLevel="0" collapsed="false">
      <c r="A347" s="10" t="s">
        <v>2693</v>
      </c>
      <c r="B347" s="19" t="n">
        <v>730</v>
      </c>
      <c r="C347" s="19" t="n">
        <v>11</v>
      </c>
      <c r="D347" s="10" t="s">
        <v>1733</v>
      </c>
    </row>
    <row r="348" customFormat="false" ht="15" hidden="false" customHeight="false" outlineLevel="0" collapsed="false">
      <c r="A348" s="10" t="s">
        <v>2694</v>
      </c>
      <c r="B348" s="19" t="n">
        <v>730</v>
      </c>
      <c r="C348" s="19" t="n">
        <v>6</v>
      </c>
      <c r="D348" s="10" t="s">
        <v>1538</v>
      </c>
    </row>
    <row r="349" customFormat="false" ht="15" hidden="false" customHeight="false" outlineLevel="0" collapsed="false">
      <c r="A349" s="10" t="s">
        <v>2695</v>
      </c>
      <c r="B349" s="19" t="n">
        <v>728</v>
      </c>
      <c r="C349" s="19" t="n">
        <v>0</v>
      </c>
      <c r="D349" s="10" t="s">
        <v>2358</v>
      </c>
    </row>
    <row r="350" customFormat="false" ht="15" hidden="false" customHeight="false" outlineLevel="0" collapsed="false">
      <c r="A350" s="10" t="s">
        <v>2696</v>
      </c>
      <c r="B350" s="19" t="n">
        <v>725</v>
      </c>
      <c r="C350" s="19" t="n">
        <v>9</v>
      </c>
      <c r="D350" s="10" t="s">
        <v>1733</v>
      </c>
    </row>
    <row r="351" customFormat="false" ht="15" hidden="false" customHeight="false" outlineLevel="0" collapsed="false">
      <c r="A351" s="10" t="s">
        <v>1593</v>
      </c>
      <c r="B351" s="19" t="n">
        <v>724</v>
      </c>
      <c r="C351" s="19" t="n">
        <v>1</v>
      </c>
      <c r="D351" s="10" t="s">
        <v>1587</v>
      </c>
    </row>
    <row r="352" customFormat="false" ht="15" hidden="false" customHeight="false" outlineLevel="0" collapsed="false">
      <c r="A352" s="10" t="s">
        <v>2697</v>
      </c>
      <c r="B352" s="19" t="n">
        <v>706</v>
      </c>
      <c r="C352" s="19" t="n">
        <v>0</v>
      </c>
      <c r="D352" s="10" t="s">
        <v>2358</v>
      </c>
    </row>
    <row r="353" customFormat="false" ht="15" hidden="false" customHeight="false" outlineLevel="0" collapsed="false">
      <c r="A353" s="10" t="s">
        <v>2698</v>
      </c>
      <c r="B353" s="19" t="n">
        <v>697</v>
      </c>
      <c r="C353" s="19" t="n">
        <v>0</v>
      </c>
      <c r="D353" s="10" t="s">
        <v>1538</v>
      </c>
    </row>
    <row r="354" customFormat="false" ht="15" hidden="false" customHeight="false" outlineLevel="0" collapsed="false">
      <c r="A354" s="10" t="s">
        <v>2699</v>
      </c>
      <c r="B354" s="19" t="n">
        <v>696</v>
      </c>
      <c r="C354" s="19" t="n">
        <v>0</v>
      </c>
      <c r="D354" s="10" t="s">
        <v>2358</v>
      </c>
    </row>
    <row r="355" customFormat="false" ht="15" hidden="false" customHeight="false" outlineLevel="0" collapsed="false">
      <c r="A355" s="10" t="s">
        <v>2700</v>
      </c>
      <c r="B355" s="19" t="n">
        <v>694</v>
      </c>
      <c r="C355" s="19" t="n">
        <v>0</v>
      </c>
      <c r="D355" s="10" t="s">
        <v>1757</v>
      </c>
    </row>
    <row r="356" customFormat="false" ht="15" hidden="false" customHeight="false" outlineLevel="0" collapsed="false">
      <c r="A356" s="10" t="s">
        <v>2701</v>
      </c>
      <c r="B356" s="19" t="n">
        <v>690</v>
      </c>
      <c r="C356" s="19" t="n">
        <v>10</v>
      </c>
      <c r="D356" s="10" t="s">
        <v>2351</v>
      </c>
    </row>
    <row r="357" customFormat="false" ht="15" hidden="false" customHeight="false" outlineLevel="0" collapsed="false">
      <c r="A357" s="10" t="s">
        <v>2702</v>
      </c>
      <c r="B357" s="19" t="n">
        <v>689</v>
      </c>
      <c r="C357" s="19" t="n">
        <v>0</v>
      </c>
      <c r="D357" s="10" t="s">
        <v>1542</v>
      </c>
    </row>
    <row r="358" customFormat="false" ht="15" hidden="false" customHeight="false" outlineLevel="0" collapsed="false">
      <c r="A358" s="10" t="s">
        <v>2703</v>
      </c>
      <c r="B358" s="19" t="n">
        <v>685</v>
      </c>
      <c r="C358" s="19" t="n">
        <v>0</v>
      </c>
      <c r="D358" s="10" t="s">
        <v>2358</v>
      </c>
    </row>
    <row r="359" customFormat="false" ht="15" hidden="false" customHeight="false" outlineLevel="0" collapsed="false">
      <c r="A359" s="10" t="s">
        <v>2704</v>
      </c>
      <c r="B359" s="19" t="n">
        <v>685</v>
      </c>
      <c r="C359" s="19" t="n">
        <v>1</v>
      </c>
      <c r="D359" s="10" t="s">
        <v>2358</v>
      </c>
    </row>
    <row r="360" customFormat="false" ht="15" hidden="false" customHeight="false" outlineLevel="0" collapsed="false">
      <c r="A360" s="10" t="s">
        <v>2705</v>
      </c>
      <c r="B360" s="19" t="n">
        <v>682</v>
      </c>
      <c r="C360" s="19" t="n">
        <v>0</v>
      </c>
      <c r="D360" s="10" t="s">
        <v>2358</v>
      </c>
    </row>
    <row r="361" customFormat="false" ht="15" hidden="false" customHeight="false" outlineLevel="0" collapsed="false">
      <c r="A361" s="10" t="s">
        <v>2706</v>
      </c>
      <c r="B361" s="19" t="n">
        <v>678</v>
      </c>
      <c r="C361" s="19" t="n">
        <v>0</v>
      </c>
      <c r="D361" s="10" t="s">
        <v>2358</v>
      </c>
    </row>
    <row r="362" customFormat="false" ht="15" hidden="false" customHeight="false" outlineLevel="0" collapsed="false">
      <c r="A362" s="10" t="s">
        <v>2707</v>
      </c>
      <c r="B362" s="19" t="n">
        <v>677</v>
      </c>
      <c r="C362" s="19" t="n">
        <v>1</v>
      </c>
      <c r="D362" s="10" t="s">
        <v>1789</v>
      </c>
    </row>
    <row r="363" customFormat="false" ht="15" hidden="false" customHeight="false" outlineLevel="0" collapsed="false">
      <c r="A363" s="10" t="s">
        <v>2708</v>
      </c>
      <c r="B363" s="19" t="n">
        <v>675</v>
      </c>
      <c r="C363" s="19" t="n">
        <v>12</v>
      </c>
      <c r="D363" s="10" t="s">
        <v>1749</v>
      </c>
    </row>
    <row r="364" customFormat="false" ht="15" hidden="false" customHeight="false" outlineLevel="0" collapsed="false">
      <c r="A364" s="10" t="s">
        <v>2709</v>
      </c>
      <c r="B364" s="19" t="n">
        <v>670</v>
      </c>
      <c r="C364" s="19" t="n">
        <v>0</v>
      </c>
      <c r="D364" s="10" t="s">
        <v>1739</v>
      </c>
    </row>
    <row r="365" customFormat="false" ht="15" hidden="false" customHeight="false" outlineLevel="0" collapsed="false">
      <c r="A365" s="10" t="s">
        <v>2710</v>
      </c>
      <c r="B365" s="19" t="n">
        <v>670</v>
      </c>
      <c r="C365" s="19" t="n">
        <v>7</v>
      </c>
      <c r="D365" s="10" t="s">
        <v>2358</v>
      </c>
    </row>
    <row r="366" customFormat="false" ht="15" hidden="false" customHeight="false" outlineLevel="0" collapsed="false">
      <c r="A366" s="10" t="s">
        <v>2711</v>
      </c>
      <c r="B366" s="19" t="n">
        <v>657</v>
      </c>
      <c r="C366" s="19" t="n">
        <v>0</v>
      </c>
      <c r="D366" s="10" t="s">
        <v>1538</v>
      </c>
    </row>
    <row r="367" customFormat="false" ht="15" hidden="false" customHeight="false" outlineLevel="0" collapsed="false">
      <c r="A367" s="10" t="s">
        <v>2712</v>
      </c>
      <c r="B367" s="19" t="n">
        <v>656</v>
      </c>
      <c r="C367" s="19" t="n">
        <v>0</v>
      </c>
      <c r="D367" s="10" t="s">
        <v>2358</v>
      </c>
    </row>
    <row r="368" customFormat="false" ht="15" hidden="false" customHeight="false" outlineLevel="0" collapsed="false">
      <c r="A368" s="10" t="s">
        <v>2713</v>
      </c>
      <c r="B368" s="19" t="n">
        <v>650</v>
      </c>
      <c r="C368" s="19" t="n">
        <v>0</v>
      </c>
      <c r="D368" s="10" t="s">
        <v>2358</v>
      </c>
    </row>
    <row r="369" customFormat="false" ht="15" hidden="false" customHeight="false" outlineLevel="0" collapsed="false">
      <c r="A369" s="10" t="s">
        <v>2714</v>
      </c>
      <c r="B369" s="19" t="n">
        <v>649</v>
      </c>
      <c r="C369" s="19" t="n">
        <v>0</v>
      </c>
      <c r="D369" s="10" t="s">
        <v>2358</v>
      </c>
    </row>
    <row r="370" customFormat="false" ht="15" hidden="false" customHeight="false" outlineLevel="0" collapsed="false">
      <c r="A370" s="10" t="s">
        <v>2715</v>
      </c>
      <c r="B370" s="19" t="n">
        <v>644</v>
      </c>
      <c r="C370" s="19" t="n">
        <v>0</v>
      </c>
      <c r="D370" s="10" t="s">
        <v>2358</v>
      </c>
    </row>
    <row r="371" customFormat="false" ht="15" hidden="false" customHeight="false" outlineLevel="0" collapsed="false">
      <c r="A371" s="10" t="s">
        <v>2716</v>
      </c>
      <c r="B371" s="19" t="n">
        <v>642</v>
      </c>
      <c r="C371" s="19" t="n">
        <v>0</v>
      </c>
      <c r="D371" s="10" t="s">
        <v>1847</v>
      </c>
    </row>
    <row r="372" customFormat="false" ht="15" hidden="false" customHeight="false" outlineLevel="0" collapsed="false">
      <c r="A372" s="10" t="s">
        <v>2717</v>
      </c>
      <c r="B372" s="19" t="n">
        <v>641</v>
      </c>
      <c r="C372" s="19" t="n">
        <v>0</v>
      </c>
      <c r="D372" s="10" t="s">
        <v>1847</v>
      </c>
    </row>
    <row r="373" customFormat="false" ht="15" hidden="false" customHeight="false" outlineLevel="0" collapsed="false">
      <c r="A373" s="10" t="s">
        <v>2718</v>
      </c>
      <c r="B373" s="19" t="n">
        <v>634</v>
      </c>
      <c r="C373" s="19" t="n">
        <v>2</v>
      </c>
      <c r="D373" s="10" t="s">
        <v>2358</v>
      </c>
    </row>
    <row r="374" customFormat="false" ht="15" hidden="false" customHeight="false" outlineLevel="0" collapsed="false">
      <c r="A374" s="10" t="s">
        <v>2719</v>
      </c>
      <c r="B374" s="19" t="n">
        <v>632</v>
      </c>
      <c r="C374" s="19" t="n">
        <v>1</v>
      </c>
      <c r="D374" s="10" t="s">
        <v>1765</v>
      </c>
    </row>
    <row r="375" customFormat="false" ht="15" hidden="false" customHeight="false" outlineLevel="0" collapsed="false">
      <c r="A375" s="10" t="s">
        <v>2720</v>
      </c>
      <c r="B375" s="19" t="n">
        <v>623</v>
      </c>
      <c r="C375" s="19" t="n">
        <v>2</v>
      </c>
      <c r="D375" s="10" t="s">
        <v>2351</v>
      </c>
    </row>
    <row r="376" customFormat="false" ht="15" hidden="false" customHeight="false" outlineLevel="0" collapsed="false">
      <c r="A376" s="10" t="s">
        <v>2721</v>
      </c>
      <c r="B376" s="19" t="n">
        <v>617</v>
      </c>
      <c r="C376" s="19" t="n">
        <v>13</v>
      </c>
      <c r="D376" s="10" t="s">
        <v>2351</v>
      </c>
    </row>
    <row r="377" customFormat="false" ht="15" hidden="false" customHeight="false" outlineLevel="0" collapsed="false">
      <c r="A377" s="10" t="s">
        <v>2722</v>
      </c>
      <c r="B377" s="19" t="n">
        <v>603</v>
      </c>
      <c r="C377" s="19" t="n">
        <v>6</v>
      </c>
      <c r="D377" s="10" t="s">
        <v>1765</v>
      </c>
    </row>
    <row r="378" customFormat="false" ht="15" hidden="false" customHeight="false" outlineLevel="0" collapsed="false">
      <c r="A378" s="10" t="s">
        <v>2723</v>
      </c>
      <c r="B378" s="19" t="n">
        <v>601</v>
      </c>
      <c r="C378" s="19" t="n">
        <v>3</v>
      </c>
      <c r="D378" s="10" t="s">
        <v>2358</v>
      </c>
    </row>
    <row r="379" customFormat="false" ht="15" hidden="false" customHeight="false" outlineLevel="0" collapsed="false">
      <c r="A379" s="10" t="s">
        <v>2724</v>
      </c>
      <c r="B379" s="19" t="n">
        <v>600</v>
      </c>
      <c r="C379" s="19" t="n">
        <v>10</v>
      </c>
      <c r="D379" s="10" t="s">
        <v>1711</v>
      </c>
    </row>
    <row r="380" customFormat="false" ht="15" hidden="false" customHeight="false" outlineLevel="0" collapsed="false">
      <c r="A380" s="10" t="s">
        <v>2725</v>
      </c>
      <c r="B380" s="19" t="n">
        <v>598</v>
      </c>
      <c r="C380" s="19" t="n">
        <v>0</v>
      </c>
      <c r="D380" s="10" t="s">
        <v>1673</v>
      </c>
    </row>
    <row r="381" customFormat="false" ht="15" hidden="false" customHeight="false" outlineLevel="0" collapsed="false">
      <c r="A381" s="10" t="s">
        <v>2726</v>
      </c>
      <c r="B381" s="19" t="n">
        <v>596</v>
      </c>
      <c r="C381" s="19" t="n">
        <v>0</v>
      </c>
      <c r="D381" s="10" t="s">
        <v>2358</v>
      </c>
    </row>
    <row r="382" customFormat="false" ht="15" hidden="false" customHeight="false" outlineLevel="0" collapsed="false">
      <c r="A382" s="10" t="s">
        <v>2727</v>
      </c>
      <c r="B382" s="19" t="n">
        <v>582</v>
      </c>
      <c r="C382" s="19" t="n">
        <v>2</v>
      </c>
      <c r="D382" s="10" t="s">
        <v>1843</v>
      </c>
    </row>
    <row r="383" customFormat="false" ht="15" hidden="false" customHeight="false" outlineLevel="0" collapsed="false">
      <c r="A383" s="10" t="s">
        <v>2728</v>
      </c>
      <c r="B383" s="19" t="n">
        <v>579</v>
      </c>
      <c r="C383" s="19" t="n">
        <v>0</v>
      </c>
      <c r="D383" s="10" t="s">
        <v>2358</v>
      </c>
    </row>
    <row r="384" customFormat="false" ht="15" hidden="false" customHeight="false" outlineLevel="0" collapsed="false">
      <c r="A384" s="10" t="s">
        <v>2729</v>
      </c>
      <c r="B384" s="19" t="n">
        <v>578</v>
      </c>
      <c r="C384" s="19" t="n">
        <v>0</v>
      </c>
      <c r="D384" s="10" t="s">
        <v>2358</v>
      </c>
    </row>
    <row r="385" customFormat="false" ht="15" hidden="false" customHeight="false" outlineLevel="0" collapsed="false">
      <c r="A385" s="10" t="s">
        <v>2730</v>
      </c>
      <c r="B385" s="19" t="n">
        <v>576</v>
      </c>
      <c r="C385" s="19" t="n">
        <v>0</v>
      </c>
      <c r="D385" s="10" t="s">
        <v>2358</v>
      </c>
    </row>
    <row r="386" customFormat="false" ht="15" hidden="false" customHeight="false" outlineLevel="0" collapsed="false">
      <c r="A386" s="10" t="s">
        <v>2731</v>
      </c>
      <c r="B386" s="19" t="n">
        <v>572</v>
      </c>
      <c r="C386" s="19" t="n">
        <v>2</v>
      </c>
      <c r="D386" s="10" t="s">
        <v>2351</v>
      </c>
    </row>
    <row r="387" customFormat="false" ht="15" hidden="false" customHeight="false" outlineLevel="0" collapsed="false">
      <c r="A387" s="10" t="s">
        <v>2732</v>
      </c>
      <c r="B387" s="19" t="n">
        <v>570</v>
      </c>
      <c r="C387" s="19" t="n">
        <v>0</v>
      </c>
      <c r="D387" s="10" t="s">
        <v>2358</v>
      </c>
    </row>
    <row r="388" customFormat="false" ht="15" hidden="false" customHeight="false" outlineLevel="0" collapsed="false">
      <c r="A388" s="10" t="s">
        <v>2733</v>
      </c>
      <c r="B388" s="19" t="n">
        <v>569</v>
      </c>
      <c r="C388" s="19" t="n">
        <v>0</v>
      </c>
      <c r="D388" s="10" t="s">
        <v>1847</v>
      </c>
    </row>
    <row r="389" customFormat="false" ht="15" hidden="false" customHeight="false" outlineLevel="0" collapsed="false">
      <c r="A389" s="10" t="s">
        <v>2734</v>
      </c>
      <c r="B389" s="19" t="n">
        <v>567</v>
      </c>
      <c r="C389" s="19" t="n">
        <v>0</v>
      </c>
      <c r="D389" s="10" t="s">
        <v>1548</v>
      </c>
    </row>
    <row r="390" customFormat="false" ht="15" hidden="false" customHeight="false" outlineLevel="0" collapsed="false">
      <c r="A390" s="10" t="s">
        <v>2735</v>
      </c>
      <c r="B390" s="19" t="n">
        <v>565</v>
      </c>
      <c r="C390" s="19" t="n">
        <v>9</v>
      </c>
      <c r="D390" s="10" t="s">
        <v>2358</v>
      </c>
    </row>
    <row r="391" customFormat="false" ht="15" hidden="false" customHeight="false" outlineLevel="0" collapsed="false">
      <c r="A391" s="10" t="s">
        <v>2736</v>
      </c>
      <c r="B391" s="19" t="n">
        <v>564</v>
      </c>
      <c r="C391" s="19" t="n">
        <v>2</v>
      </c>
      <c r="D391" s="10" t="s">
        <v>1542</v>
      </c>
    </row>
    <row r="392" customFormat="false" ht="15" hidden="false" customHeight="false" outlineLevel="0" collapsed="false">
      <c r="A392" s="10" t="s">
        <v>2737</v>
      </c>
      <c r="B392" s="19" t="n">
        <v>562</v>
      </c>
      <c r="C392" s="19" t="n">
        <v>0</v>
      </c>
      <c r="D392" s="10" t="s">
        <v>2358</v>
      </c>
    </row>
    <row r="393" customFormat="false" ht="15" hidden="false" customHeight="false" outlineLevel="0" collapsed="false">
      <c r="A393" s="10" t="s">
        <v>2738</v>
      </c>
      <c r="B393" s="19" t="n">
        <v>561</v>
      </c>
      <c r="C393" s="19"/>
      <c r="D393" s="10" t="s">
        <v>2358</v>
      </c>
    </row>
    <row r="394" customFormat="false" ht="15" hidden="false" customHeight="false" outlineLevel="0" collapsed="false">
      <c r="A394" s="10" t="s">
        <v>2739</v>
      </c>
      <c r="B394" s="19" t="n">
        <v>559</v>
      </c>
      <c r="C394" s="19"/>
      <c r="D394" s="10" t="s">
        <v>2358</v>
      </c>
    </row>
    <row r="395" customFormat="false" ht="15" hidden="false" customHeight="false" outlineLevel="0" collapsed="false">
      <c r="A395" s="10" t="s">
        <v>2740</v>
      </c>
      <c r="B395" s="19" t="n">
        <v>559</v>
      </c>
      <c r="C395" s="19"/>
      <c r="D395" s="10" t="s">
        <v>2351</v>
      </c>
    </row>
    <row r="396" customFormat="false" ht="15" hidden="false" customHeight="false" outlineLevel="0" collapsed="false">
      <c r="A396" s="10" t="s">
        <v>2741</v>
      </c>
      <c r="B396" s="19" t="n">
        <v>558</v>
      </c>
      <c r="C396" s="19"/>
      <c r="D396" s="10" t="s">
        <v>2358</v>
      </c>
    </row>
    <row r="397" customFormat="false" ht="15" hidden="false" customHeight="false" outlineLevel="0" collapsed="false">
      <c r="A397" s="10" t="s">
        <v>2742</v>
      </c>
      <c r="B397" s="19" t="n">
        <v>558</v>
      </c>
      <c r="C397" s="19"/>
      <c r="D397" s="10" t="s">
        <v>2358</v>
      </c>
    </row>
    <row r="398" customFormat="false" ht="15" hidden="false" customHeight="false" outlineLevel="0" collapsed="false">
      <c r="A398" s="10" t="s">
        <v>2743</v>
      </c>
      <c r="B398" s="19" t="n">
        <v>552</v>
      </c>
      <c r="C398" s="19"/>
      <c r="D398" s="10" t="s">
        <v>2358</v>
      </c>
    </row>
    <row r="399" customFormat="false" ht="15" hidden="false" customHeight="false" outlineLevel="0" collapsed="false">
      <c r="A399" s="10" t="s">
        <v>2744</v>
      </c>
      <c r="B399" s="19" t="n">
        <v>550</v>
      </c>
      <c r="C399" s="19"/>
      <c r="D399" s="10" t="s">
        <v>2358</v>
      </c>
    </row>
    <row r="400" customFormat="false" ht="15" hidden="false" customHeight="false" outlineLevel="0" collapsed="false">
      <c r="A400" s="10" t="s">
        <v>2745</v>
      </c>
      <c r="B400" s="19" t="n">
        <v>540</v>
      </c>
      <c r="C400" s="19"/>
      <c r="D400" s="10" t="s">
        <v>2358</v>
      </c>
    </row>
    <row r="401" customFormat="false" ht="15" hidden="false" customHeight="false" outlineLevel="0" collapsed="false">
      <c r="A401" s="10" t="s">
        <v>2746</v>
      </c>
      <c r="B401" s="19" t="n">
        <v>537</v>
      </c>
      <c r="C401" s="19"/>
      <c r="D401" s="10" t="s">
        <v>2358</v>
      </c>
    </row>
    <row r="402" customFormat="false" ht="15" hidden="false" customHeight="false" outlineLevel="0" collapsed="false">
      <c r="A402" s="10" t="s">
        <v>2747</v>
      </c>
      <c r="B402" s="19" t="n">
        <v>536</v>
      </c>
      <c r="C402" s="19"/>
      <c r="D402" s="10" t="s">
        <v>2358</v>
      </c>
    </row>
    <row r="403" customFormat="false" ht="15" hidden="false" customHeight="false" outlineLevel="0" collapsed="false">
      <c r="A403" s="10" t="s">
        <v>2748</v>
      </c>
      <c r="B403" s="19" t="n">
        <v>533</v>
      </c>
      <c r="C403" s="19"/>
      <c r="D403" s="10" t="s">
        <v>2358</v>
      </c>
    </row>
    <row r="404" customFormat="false" ht="15" hidden="false" customHeight="false" outlineLevel="0" collapsed="false">
      <c r="A404" s="10" t="s">
        <v>2749</v>
      </c>
      <c r="B404" s="19" t="n">
        <v>532</v>
      </c>
      <c r="C404" s="19"/>
      <c r="D404" s="10" t="s">
        <v>2358</v>
      </c>
    </row>
    <row r="405" customFormat="false" ht="15" hidden="false" customHeight="false" outlineLevel="0" collapsed="false">
      <c r="A405" s="10" t="s">
        <v>2750</v>
      </c>
      <c r="B405" s="19" t="n">
        <v>526</v>
      </c>
      <c r="C405" s="19"/>
      <c r="D405" s="10" t="s">
        <v>2358</v>
      </c>
    </row>
    <row r="406" customFormat="false" ht="15" hidden="false" customHeight="false" outlineLevel="0" collapsed="false">
      <c r="A406" s="10" t="s">
        <v>2751</v>
      </c>
      <c r="B406" s="19" t="n">
        <v>525</v>
      </c>
      <c r="C406" s="19"/>
      <c r="D406" s="10" t="s">
        <v>2358</v>
      </c>
    </row>
    <row r="407" customFormat="false" ht="15" hidden="false" customHeight="false" outlineLevel="0" collapsed="false">
      <c r="A407" s="10" t="s">
        <v>2752</v>
      </c>
      <c r="B407" s="19" t="n">
        <v>524</v>
      </c>
      <c r="C407" s="19"/>
      <c r="D407" s="10" t="s">
        <v>2351</v>
      </c>
    </row>
    <row r="408" customFormat="false" ht="15" hidden="false" customHeight="false" outlineLevel="0" collapsed="false">
      <c r="A408" s="10" t="s">
        <v>2753</v>
      </c>
      <c r="B408" s="19" t="n">
        <v>523</v>
      </c>
      <c r="C408" s="19"/>
      <c r="D408" s="10" t="s">
        <v>2358</v>
      </c>
    </row>
    <row r="409" customFormat="false" ht="15" hidden="false" customHeight="false" outlineLevel="0" collapsed="false">
      <c r="A409" s="10" t="s">
        <v>2754</v>
      </c>
      <c r="B409" s="19" t="n">
        <v>511</v>
      </c>
      <c r="C409" s="19"/>
      <c r="D409" s="10" t="s">
        <v>2358</v>
      </c>
    </row>
    <row r="410" customFormat="false" ht="15" hidden="false" customHeight="false" outlineLevel="0" collapsed="false">
      <c r="A410" s="10" t="s">
        <v>2755</v>
      </c>
      <c r="B410" s="19" t="n">
        <v>501</v>
      </c>
      <c r="C410" s="19"/>
      <c r="D410" s="10" t="s">
        <v>2351</v>
      </c>
    </row>
    <row r="411" customFormat="false" ht="15" hidden="false" customHeight="false" outlineLevel="0" collapsed="false">
      <c r="A411" s="10" t="s">
        <v>2756</v>
      </c>
      <c r="B411" s="19" t="n">
        <v>498</v>
      </c>
      <c r="C411" s="19"/>
      <c r="D411" s="10" t="s">
        <v>2358</v>
      </c>
    </row>
    <row r="412" customFormat="false" ht="15" hidden="false" customHeight="false" outlineLevel="0" collapsed="false">
      <c r="A412" s="10" t="s">
        <v>2757</v>
      </c>
      <c r="B412" s="19" t="n">
        <v>497</v>
      </c>
      <c r="C412" s="19"/>
      <c r="D412" s="10" t="s">
        <v>2358</v>
      </c>
    </row>
    <row r="413" customFormat="false" ht="15" hidden="false" customHeight="false" outlineLevel="0" collapsed="false">
      <c r="A413" s="10" t="s">
        <v>2758</v>
      </c>
      <c r="B413" s="19" t="n">
        <v>494</v>
      </c>
      <c r="C413" s="19"/>
      <c r="D413" s="10" t="s">
        <v>2358</v>
      </c>
    </row>
    <row r="414" customFormat="false" ht="15" hidden="false" customHeight="false" outlineLevel="0" collapsed="false">
      <c r="A414" s="10" t="s">
        <v>2759</v>
      </c>
      <c r="B414" s="19" t="n">
        <v>492</v>
      </c>
      <c r="C414" s="19"/>
      <c r="D414" s="10" t="s">
        <v>2358</v>
      </c>
    </row>
    <row r="415" customFormat="false" ht="15" hidden="false" customHeight="false" outlineLevel="0" collapsed="false">
      <c r="A415" s="10" t="s">
        <v>2760</v>
      </c>
      <c r="B415" s="19" t="n">
        <v>487</v>
      </c>
      <c r="C415" s="19"/>
      <c r="D415" s="10" t="s">
        <v>2358</v>
      </c>
    </row>
    <row r="416" customFormat="false" ht="15" hidden="false" customHeight="false" outlineLevel="0" collapsed="false">
      <c r="A416" s="10" t="s">
        <v>2761</v>
      </c>
      <c r="B416" s="19" t="n">
        <v>486</v>
      </c>
      <c r="C416" s="19"/>
      <c r="D416" s="10" t="s">
        <v>2358</v>
      </c>
    </row>
    <row r="417" customFormat="false" ht="15" hidden="false" customHeight="false" outlineLevel="0" collapsed="false">
      <c r="A417" s="10" t="s">
        <v>2762</v>
      </c>
      <c r="B417" s="19" t="n">
        <v>485</v>
      </c>
      <c r="C417" s="19"/>
      <c r="D417" s="10" t="s">
        <v>2358</v>
      </c>
    </row>
    <row r="418" customFormat="false" ht="15" hidden="false" customHeight="false" outlineLevel="0" collapsed="false">
      <c r="A418" s="10" t="s">
        <v>2763</v>
      </c>
      <c r="B418" s="19" t="n">
        <v>480</v>
      </c>
      <c r="C418" s="19"/>
      <c r="D418" s="10" t="s">
        <v>2358</v>
      </c>
    </row>
    <row r="419" customFormat="false" ht="15" hidden="false" customHeight="false" outlineLevel="0" collapsed="false">
      <c r="A419" s="10" t="s">
        <v>2764</v>
      </c>
      <c r="B419" s="19" t="n">
        <v>478</v>
      </c>
      <c r="C419" s="19"/>
      <c r="D419" s="10" t="s">
        <v>2358</v>
      </c>
    </row>
    <row r="420" customFormat="false" ht="15" hidden="false" customHeight="false" outlineLevel="0" collapsed="false">
      <c r="A420" s="10" t="s">
        <v>2765</v>
      </c>
      <c r="B420" s="19" t="n">
        <v>466</v>
      </c>
      <c r="C420" s="19"/>
      <c r="D420" s="10" t="s">
        <v>2358</v>
      </c>
    </row>
    <row r="421" customFormat="false" ht="15" hidden="false" customHeight="false" outlineLevel="0" collapsed="false">
      <c r="A421" s="10" t="s">
        <v>2766</v>
      </c>
      <c r="B421" s="19" t="n">
        <v>463</v>
      </c>
      <c r="C421" s="19"/>
      <c r="D421" s="10" t="s">
        <v>2358</v>
      </c>
    </row>
    <row r="422" customFormat="false" ht="15" hidden="false" customHeight="false" outlineLevel="0" collapsed="false">
      <c r="A422" s="10" t="s">
        <v>2767</v>
      </c>
      <c r="B422" s="19" t="n">
        <v>462</v>
      </c>
      <c r="C422" s="19"/>
      <c r="D422" s="10" t="s">
        <v>2358</v>
      </c>
    </row>
    <row r="423" customFormat="false" ht="15" hidden="false" customHeight="false" outlineLevel="0" collapsed="false">
      <c r="A423" s="10" t="s">
        <v>2768</v>
      </c>
      <c r="B423" s="19" t="n">
        <v>461</v>
      </c>
      <c r="C423" s="19"/>
      <c r="D423" s="10" t="s">
        <v>2358</v>
      </c>
    </row>
    <row r="424" customFormat="false" ht="15" hidden="false" customHeight="false" outlineLevel="0" collapsed="false">
      <c r="A424" s="10" t="s">
        <v>2769</v>
      </c>
      <c r="B424" s="19" t="n">
        <v>460</v>
      </c>
      <c r="C424" s="19"/>
      <c r="D424" s="10" t="s">
        <v>2358</v>
      </c>
    </row>
    <row r="425" customFormat="false" ht="15" hidden="false" customHeight="false" outlineLevel="0" collapsed="false">
      <c r="A425" s="10" t="s">
        <v>2770</v>
      </c>
      <c r="B425" s="19" t="n">
        <v>459</v>
      </c>
      <c r="C425" s="19"/>
      <c r="D425" s="10" t="s">
        <v>2351</v>
      </c>
    </row>
    <row r="426" customFormat="false" ht="15" hidden="false" customHeight="false" outlineLevel="0" collapsed="false">
      <c r="A426" s="10" t="s">
        <v>2771</v>
      </c>
      <c r="B426" s="19" t="n">
        <v>454</v>
      </c>
      <c r="C426" s="19"/>
      <c r="D426" s="10" t="s">
        <v>2358</v>
      </c>
    </row>
    <row r="427" customFormat="false" ht="15" hidden="false" customHeight="false" outlineLevel="0" collapsed="false">
      <c r="A427" s="10" t="s">
        <v>2772</v>
      </c>
      <c r="B427" s="19" t="n">
        <v>452</v>
      </c>
      <c r="C427" s="19"/>
      <c r="D427" s="10" t="s">
        <v>2358</v>
      </c>
    </row>
    <row r="428" customFormat="false" ht="15" hidden="false" customHeight="false" outlineLevel="0" collapsed="false">
      <c r="A428" s="10" t="s">
        <v>2773</v>
      </c>
      <c r="B428" s="19" t="n">
        <v>451</v>
      </c>
      <c r="C428" s="19"/>
      <c r="D428" s="10" t="s">
        <v>2358</v>
      </c>
    </row>
    <row r="429" customFormat="false" ht="15" hidden="false" customHeight="false" outlineLevel="0" collapsed="false">
      <c r="A429" s="10" t="s">
        <v>2774</v>
      </c>
      <c r="B429" s="19" t="n">
        <v>449</v>
      </c>
      <c r="C429" s="19"/>
      <c r="D429" s="10" t="s">
        <v>2358</v>
      </c>
    </row>
    <row r="430" customFormat="false" ht="15" hidden="false" customHeight="false" outlineLevel="0" collapsed="false">
      <c r="A430" s="10" t="s">
        <v>2775</v>
      </c>
      <c r="B430" s="19" t="n">
        <v>447</v>
      </c>
      <c r="C430" s="19"/>
      <c r="D430" s="10" t="s">
        <v>2358</v>
      </c>
    </row>
    <row r="431" customFormat="false" ht="15" hidden="false" customHeight="false" outlineLevel="0" collapsed="false">
      <c r="A431" s="10" t="s">
        <v>2776</v>
      </c>
      <c r="B431" s="19" t="n">
        <v>446</v>
      </c>
      <c r="C431" s="19"/>
      <c r="D431" s="10" t="s">
        <v>2358</v>
      </c>
    </row>
    <row r="432" customFormat="false" ht="15" hidden="false" customHeight="false" outlineLevel="0" collapsed="false">
      <c r="A432" s="10" t="s">
        <v>2777</v>
      </c>
      <c r="B432" s="19" t="n">
        <v>446</v>
      </c>
      <c r="C432" s="19"/>
      <c r="D432" s="10" t="s">
        <v>2358</v>
      </c>
    </row>
    <row r="433" customFormat="false" ht="15" hidden="false" customHeight="false" outlineLevel="0" collapsed="false">
      <c r="A433" s="10" t="s">
        <v>2778</v>
      </c>
      <c r="B433" s="19" t="n">
        <v>443</v>
      </c>
      <c r="C433" s="19"/>
      <c r="D433" s="10" t="s">
        <v>2358</v>
      </c>
    </row>
    <row r="434" customFormat="false" ht="15" hidden="false" customHeight="false" outlineLevel="0" collapsed="false">
      <c r="A434" s="10" t="s">
        <v>2779</v>
      </c>
      <c r="B434" s="19" t="n">
        <v>441</v>
      </c>
      <c r="C434" s="19"/>
      <c r="D434" s="10" t="s">
        <v>2358</v>
      </c>
    </row>
    <row r="435" customFormat="false" ht="15" hidden="false" customHeight="false" outlineLevel="0" collapsed="false">
      <c r="A435" s="10" t="s">
        <v>2780</v>
      </c>
      <c r="B435" s="19" t="n">
        <v>440</v>
      </c>
      <c r="C435" s="19"/>
      <c r="D435" s="10" t="s">
        <v>2358</v>
      </c>
    </row>
    <row r="436" customFormat="false" ht="15" hidden="false" customHeight="false" outlineLevel="0" collapsed="false">
      <c r="A436" s="10" t="s">
        <v>2781</v>
      </c>
      <c r="B436" s="19" t="n">
        <v>437</v>
      </c>
      <c r="C436" s="19"/>
      <c r="D436" s="10" t="s">
        <v>2358</v>
      </c>
    </row>
    <row r="437" customFormat="false" ht="15" hidden="false" customHeight="false" outlineLevel="0" collapsed="false">
      <c r="A437" s="10" t="s">
        <v>2782</v>
      </c>
      <c r="B437" s="19" t="n">
        <v>434</v>
      </c>
      <c r="C437" s="19"/>
      <c r="D437" s="10" t="s">
        <v>2358</v>
      </c>
    </row>
    <row r="438" customFormat="false" ht="15" hidden="false" customHeight="false" outlineLevel="0" collapsed="false">
      <c r="A438" s="10" t="s">
        <v>2783</v>
      </c>
      <c r="B438" s="19" t="n">
        <v>432</v>
      </c>
      <c r="C438" s="19"/>
      <c r="D438" s="10" t="s">
        <v>2358</v>
      </c>
    </row>
    <row r="439" customFormat="false" ht="15" hidden="false" customHeight="false" outlineLevel="0" collapsed="false">
      <c r="A439" s="10" t="s">
        <v>2784</v>
      </c>
      <c r="B439" s="19" t="n">
        <v>429</v>
      </c>
      <c r="C439" s="19"/>
      <c r="D439" s="10" t="s">
        <v>2358</v>
      </c>
    </row>
    <row r="440" customFormat="false" ht="15" hidden="false" customHeight="false" outlineLevel="0" collapsed="false">
      <c r="A440" s="10" t="s">
        <v>2785</v>
      </c>
      <c r="B440" s="19" t="n">
        <v>424</v>
      </c>
      <c r="C440" s="19"/>
      <c r="D440" s="10" t="s">
        <v>2358</v>
      </c>
    </row>
    <row r="441" customFormat="false" ht="15" hidden="false" customHeight="false" outlineLevel="0" collapsed="false">
      <c r="A441" s="10" t="s">
        <v>2786</v>
      </c>
      <c r="B441" s="19" t="n">
        <v>424</v>
      </c>
      <c r="C441" s="19"/>
      <c r="D441" s="10" t="s">
        <v>2358</v>
      </c>
    </row>
    <row r="442" customFormat="false" ht="15" hidden="false" customHeight="false" outlineLevel="0" collapsed="false">
      <c r="A442" s="10" t="s">
        <v>2787</v>
      </c>
      <c r="B442" s="19" t="n">
        <v>422</v>
      </c>
      <c r="C442" s="19"/>
      <c r="D442" s="10" t="s">
        <v>2358</v>
      </c>
    </row>
    <row r="443" customFormat="false" ht="15" hidden="false" customHeight="false" outlineLevel="0" collapsed="false">
      <c r="A443" s="10" t="s">
        <v>2788</v>
      </c>
      <c r="B443" s="19" t="n">
        <v>418</v>
      </c>
      <c r="C443" s="19"/>
      <c r="D443" s="10" t="s">
        <v>2358</v>
      </c>
    </row>
    <row r="444" customFormat="false" ht="15" hidden="false" customHeight="false" outlineLevel="0" collapsed="false">
      <c r="A444" s="10" t="s">
        <v>2789</v>
      </c>
      <c r="B444" s="19" t="n">
        <v>414</v>
      </c>
      <c r="C444" s="19"/>
      <c r="D444" s="10" t="s">
        <v>2358</v>
      </c>
    </row>
    <row r="445" customFormat="false" ht="15" hidden="false" customHeight="false" outlineLevel="0" collapsed="false">
      <c r="A445" s="10" t="s">
        <v>2790</v>
      </c>
      <c r="B445" s="19" t="n">
        <v>413</v>
      </c>
      <c r="C445" s="19"/>
      <c r="D445" s="10" t="s">
        <v>2358</v>
      </c>
    </row>
    <row r="446" customFormat="false" ht="15" hidden="false" customHeight="false" outlineLevel="0" collapsed="false">
      <c r="A446" s="10" t="s">
        <v>2791</v>
      </c>
      <c r="B446" s="19" t="n">
        <v>409</v>
      </c>
      <c r="C446" s="19"/>
      <c r="D446" s="10" t="s">
        <v>2358</v>
      </c>
    </row>
    <row r="447" customFormat="false" ht="15" hidden="false" customHeight="false" outlineLevel="0" collapsed="false">
      <c r="A447" s="10" t="s">
        <v>2792</v>
      </c>
      <c r="B447" s="19" t="n">
        <v>408</v>
      </c>
      <c r="C447" s="19"/>
      <c r="D447" s="10" t="s">
        <v>2351</v>
      </c>
    </row>
    <row r="448" customFormat="false" ht="15" hidden="false" customHeight="false" outlineLevel="0" collapsed="false">
      <c r="A448" s="10" t="s">
        <v>2793</v>
      </c>
      <c r="B448" s="19" t="n">
        <v>408</v>
      </c>
      <c r="C448" s="19"/>
      <c r="D448" s="10" t="s">
        <v>2358</v>
      </c>
    </row>
    <row r="449" customFormat="false" ht="15" hidden="false" customHeight="false" outlineLevel="0" collapsed="false">
      <c r="A449" s="10" t="s">
        <v>2794</v>
      </c>
      <c r="B449" s="19" t="n">
        <v>405</v>
      </c>
      <c r="C449" s="19"/>
      <c r="D449" s="10" t="s">
        <v>2358</v>
      </c>
    </row>
    <row r="450" customFormat="false" ht="15" hidden="false" customHeight="false" outlineLevel="0" collapsed="false">
      <c r="A450" s="10" t="s">
        <v>2795</v>
      </c>
      <c r="B450" s="19" t="n">
        <v>403</v>
      </c>
      <c r="C450" s="19"/>
      <c r="D450" s="10" t="s">
        <v>2358</v>
      </c>
    </row>
    <row r="451" customFormat="false" ht="15" hidden="false" customHeight="false" outlineLevel="0" collapsed="false">
      <c r="A451" s="10" t="s">
        <v>2796</v>
      </c>
      <c r="B451" s="19" t="n">
        <v>403</v>
      </c>
      <c r="C451" s="19"/>
      <c r="D451" s="10" t="s">
        <v>2351</v>
      </c>
    </row>
    <row r="452" customFormat="false" ht="15" hidden="false" customHeight="false" outlineLevel="0" collapsed="false">
      <c r="A452" s="10" t="s">
        <v>2797</v>
      </c>
      <c r="B452" s="19" t="n">
        <v>398</v>
      </c>
      <c r="C452" s="19"/>
      <c r="D452" s="10" t="s">
        <v>2358</v>
      </c>
    </row>
    <row r="453" customFormat="false" ht="15" hidden="false" customHeight="false" outlineLevel="0" collapsed="false">
      <c r="A453" s="10" t="s">
        <v>2798</v>
      </c>
      <c r="B453" s="19" t="n">
        <v>395</v>
      </c>
      <c r="C453" s="19"/>
      <c r="D453" s="10" t="s">
        <v>2358</v>
      </c>
    </row>
    <row r="454" customFormat="false" ht="15" hidden="false" customHeight="false" outlineLevel="0" collapsed="false">
      <c r="A454" s="10" t="s">
        <v>2799</v>
      </c>
      <c r="B454" s="19" t="n">
        <v>393</v>
      </c>
      <c r="C454" s="19"/>
      <c r="D454" s="10" t="s">
        <v>2358</v>
      </c>
    </row>
    <row r="455" customFormat="false" ht="15" hidden="false" customHeight="false" outlineLevel="0" collapsed="false">
      <c r="A455" s="10" t="s">
        <v>2800</v>
      </c>
      <c r="B455" s="19" t="n">
        <v>391</v>
      </c>
      <c r="C455" s="19"/>
      <c r="D455" s="10" t="s">
        <v>2358</v>
      </c>
    </row>
    <row r="456" customFormat="false" ht="15" hidden="false" customHeight="false" outlineLevel="0" collapsed="false">
      <c r="A456" s="10" t="s">
        <v>2801</v>
      </c>
      <c r="B456" s="19" t="n">
        <v>390</v>
      </c>
      <c r="C456" s="19"/>
      <c r="D456" s="10" t="s">
        <v>2358</v>
      </c>
    </row>
    <row r="457" customFormat="false" ht="15" hidden="false" customHeight="false" outlineLevel="0" collapsed="false">
      <c r="A457" s="10" t="s">
        <v>2802</v>
      </c>
      <c r="B457" s="19" t="n">
        <v>389</v>
      </c>
      <c r="C457" s="19"/>
      <c r="D457" s="10" t="s">
        <v>2358</v>
      </c>
    </row>
    <row r="458" customFormat="false" ht="15" hidden="false" customHeight="false" outlineLevel="0" collapsed="false">
      <c r="A458" s="10" t="s">
        <v>2803</v>
      </c>
      <c r="B458" s="19" t="n">
        <v>386</v>
      </c>
      <c r="C458" s="19"/>
      <c r="D458" s="10" t="s">
        <v>2358</v>
      </c>
    </row>
    <row r="459" customFormat="false" ht="15" hidden="false" customHeight="false" outlineLevel="0" collapsed="false">
      <c r="A459" s="10" t="s">
        <v>2804</v>
      </c>
      <c r="B459" s="19" t="n">
        <v>378</v>
      </c>
      <c r="C459" s="19"/>
      <c r="D459" s="10" t="s">
        <v>2358</v>
      </c>
    </row>
    <row r="460" customFormat="false" ht="15" hidden="false" customHeight="false" outlineLevel="0" collapsed="false">
      <c r="A460" s="10" t="s">
        <v>2805</v>
      </c>
      <c r="B460" s="19" t="n">
        <v>377</v>
      </c>
      <c r="C460" s="19"/>
      <c r="D460" s="10" t="s">
        <v>2358</v>
      </c>
    </row>
    <row r="461" customFormat="false" ht="15" hidden="false" customHeight="false" outlineLevel="0" collapsed="false">
      <c r="A461" s="10" t="s">
        <v>2806</v>
      </c>
      <c r="B461" s="19" t="n">
        <v>376</v>
      </c>
      <c r="C461" s="19"/>
      <c r="D461" s="10" t="s">
        <v>2358</v>
      </c>
    </row>
    <row r="462" customFormat="false" ht="15" hidden="false" customHeight="false" outlineLevel="0" collapsed="false">
      <c r="A462" s="10" t="s">
        <v>2807</v>
      </c>
      <c r="B462" s="19" t="n">
        <v>375</v>
      </c>
      <c r="C462" s="19"/>
      <c r="D462" s="10" t="s">
        <v>2358</v>
      </c>
    </row>
    <row r="463" customFormat="false" ht="15" hidden="false" customHeight="false" outlineLevel="0" collapsed="false">
      <c r="A463" s="10" t="s">
        <v>2808</v>
      </c>
      <c r="B463" s="19" t="n">
        <v>373</v>
      </c>
      <c r="C463" s="19"/>
      <c r="D463" s="10" t="s">
        <v>2358</v>
      </c>
    </row>
    <row r="464" customFormat="false" ht="15" hidden="false" customHeight="false" outlineLevel="0" collapsed="false">
      <c r="A464" s="10" t="s">
        <v>2809</v>
      </c>
      <c r="B464" s="19" t="n">
        <v>370</v>
      </c>
      <c r="C464" s="19"/>
      <c r="D464" s="10" t="s">
        <v>2358</v>
      </c>
    </row>
    <row r="465" customFormat="false" ht="15" hidden="false" customHeight="false" outlineLevel="0" collapsed="false">
      <c r="A465" s="10" t="s">
        <v>2810</v>
      </c>
      <c r="B465" s="19" t="n">
        <v>370</v>
      </c>
      <c r="C465" s="19"/>
      <c r="D465" s="10" t="s">
        <v>2358</v>
      </c>
    </row>
    <row r="466" customFormat="false" ht="15" hidden="false" customHeight="false" outlineLevel="0" collapsed="false">
      <c r="A466" s="10" t="s">
        <v>2811</v>
      </c>
      <c r="B466" s="19" t="n">
        <v>369</v>
      </c>
      <c r="C466" s="19"/>
      <c r="D466" s="10" t="s">
        <v>2358</v>
      </c>
    </row>
    <row r="467" customFormat="false" ht="15" hidden="false" customHeight="false" outlineLevel="0" collapsed="false">
      <c r="A467" s="10" t="s">
        <v>2812</v>
      </c>
      <c r="B467" s="19" t="n">
        <v>368</v>
      </c>
      <c r="C467" s="19"/>
      <c r="D467" s="10" t="s">
        <v>2358</v>
      </c>
    </row>
    <row r="468" customFormat="false" ht="15" hidden="false" customHeight="false" outlineLevel="0" collapsed="false">
      <c r="A468" s="10" t="s">
        <v>2813</v>
      </c>
      <c r="B468" s="19" t="n">
        <v>364</v>
      </c>
      <c r="C468" s="19"/>
      <c r="D468" s="10" t="s">
        <v>2358</v>
      </c>
    </row>
    <row r="469" customFormat="false" ht="15" hidden="false" customHeight="false" outlineLevel="0" collapsed="false">
      <c r="A469" s="10" t="s">
        <v>2814</v>
      </c>
      <c r="B469" s="19" t="n">
        <v>361</v>
      </c>
      <c r="C469" s="19"/>
      <c r="D469" s="10" t="s">
        <v>2358</v>
      </c>
    </row>
    <row r="470" customFormat="false" ht="15" hidden="false" customHeight="false" outlineLevel="0" collapsed="false">
      <c r="A470" s="10" t="s">
        <v>2815</v>
      </c>
      <c r="B470" s="19" t="n">
        <v>358</v>
      </c>
      <c r="C470" s="19"/>
      <c r="D470" s="10" t="s">
        <v>2358</v>
      </c>
    </row>
    <row r="471" customFormat="false" ht="15" hidden="false" customHeight="false" outlineLevel="0" collapsed="false">
      <c r="A471" s="10" t="s">
        <v>2816</v>
      </c>
      <c r="B471" s="19" t="n">
        <v>358</v>
      </c>
      <c r="C471" s="19"/>
      <c r="D471" s="10" t="s">
        <v>2358</v>
      </c>
    </row>
    <row r="472" customFormat="false" ht="15" hidden="false" customHeight="false" outlineLevel="0" collapsed="false">
      <c r="A472" s="10" t="s">
        <v>2817</v>
      </c>
      <c r="B472" s="19" t="n">
        <v>355</v>
      </c>
      <c r="C472" s="19"/>
      <c r="D472" s="10" t="s">
        <v>2358</v>
      </c>
    </row>
    <row r="473" customFormat="false" ht="15" hidden="false" customHeight="false" outlineLevel="0" collapsed="false">
      <c r="A473" s="10" t="s">
        <v>2818</v>
      </c>
      <c r="B473" s="19" t="n">
        <v>354</v>
      </c>
      <c r="C473" s="19"/>
      <c r="D473" s="10" t="s">
        <v>2358</v>
      </c>
    </row>
    <row r="474" customFormat="false" ht="15" hidden="false" customHeight="false" outlineLevel="0" collapsed="false">
      <c r="A474" s="10" t="s">
        <v>2819</v>
      </c>
      <c r="B474" s="19" t="n">
        <v>350</v>
      </c>
      <c r="C474" s="19"/>
      <c r="D474" s="10" t="s">
        <v>2358</v>
      </c>
    </row>
    <row r="475" customFormat="false" ht="15" hidden="false" customHeight="false" outlineLevel="0" collapsed="false">
      <c r="A475" s="10" t="s">
        <v>2820</v>
      </c>
      <c r="B475" s="19" t="n">
        <v>344</v>
      </c>
      <c r="C475" s="19"/>
      <c r="D475" s="10" t="s">
        <v>2358</v>
      </c>
    </row>
    <row r="476" customFormat="false" ht="15" hidden="false" customHeight="false" outlineLevel="0" collapsed="false">
      <c r="A476" s="10" t="s">
        <v>2821</v>
      </c>
      <c r="B476" s="19" t="n">
        <v>343</v>
      </c>
      <c r="C476" s="19"/>
      <c r="D476" s="10" t="s">
        <v>2358</v>
      </c>
    </row>
    <row r="477" customFormat="false" ht="15" hidden="false" customHeight="false" outlineLevel="0" collapsed="false">
      <c r="A477" s="10" t="s">
        <v>2822</v>
      </c>
      <c r="B477" s="19" t="n">
        <v>343</v>
      </c>
      <c r="C477" s="19"/>
      <c r="D477" s="10" t="s">
        <v>2358</v>
      </c>
    </row>
    <row r="478" customFormat="false" ht="15" hidden="false" customHeight="false" outlineLevel="0" collapsed="false">
      <c r="A478" s="10" t="s">
        <v>2823</v>
      </c>
      <c r="B478" s="19" t="n">
        <v>342</v>
      </c>
      <c r="C478" s="19"/>
      <c r="D478" s="10" t="s">
        <v>2358</v>
      </c>
    </row>
    <row r="479" customFormat="false" ht="15" hidden="false" customHeight="false" outlineLevel="0" collapsed="false">
      <c r="A479" s="10" t="s">
        <v>2824</v>
      </c>
      <c r="B479" s="19" t="n">
        <v>339</v>
      </c>
      <c r="C479" s="19"/>
      <c r="D479" s="10" t="s">
        <v>2358</v>
      </c>
    </row>
    <row r="480" customFormat="false" ht="15" hidden="false" customHeight="false" outlineLevel="0" collapsed="false">
      <c r="A480" s="10" t="s">
        <v>2825</v>
      </c>
      <c r="B480" s="19" t="n">
        <v>337</v>
      </c>
      <c r="C480" s="19"/>
      <c r="D480" s="10" t="s">
        <v>2358</v>
      </c>
    </row>
    <row r="481" customFormat="false" ht="15" hidden="false" customHeight="false" outlineLevel="0" collapsed="false">
      <c r="A481" s="10" t="s">
        <v>2826</v>
      </c>
      <c r="B481" s="19" t="n">
        <v>333</v>
      </c>
      <c r="C481" s="19"/>
      <c r="D481" s="10" t="s">
        <v>2358</v>
      </c>
    </row>
    <row r="482" customFormat="false" ht="15" hidden="false" customHeight="false" outlineLevel="0" collapsed="false">
      <c r="A482" s="10" t="s">
        <v>2827</v>
      </c>
      <c r="B482" s="19" t="n">
        <v>330</v>
      </c>
      <c r="C482" s="19"/>
      <c r="D482" s="10" t="s">
        <v>2358</v>
      </c>
    </row>
    <row r="483" customFormat="false" ht="15" hidden="false" customHeight="false" outlineLevel="0" collapsed="false">
      <c r="A483" s="10" t="s">
        <v>2828</v>
      </c>
      <c r="B483" s="19" t="n">
        <v>326</v>
      </c>
      <c r="C483" s="19"/>
      <c r="D483" s="10" t="s">
        <v>2358</v>
      </c>
    </row>
    <row r="484" customFormat="false" ht="15" hidden="false" customHeight="false" outlineLevel="0" collapsed="false">
      <c r="A484" s="10" t="s">
        <v>2829</v>
      </c>
      <c r="B484" s="19" t="n">
        <v>325</v>
      </c>
      <c r="C484" s="19"/>
      <c r="D484" s="10" t="s">
        <v>2358</v>
      </c>
    </row>
    <row r="485" customFormat="false" ht="15" hidden="false" customHeight="false" outlineLevel="0" collapsed="false">
      <c r="A485" s="10" t="s">
        <v>2830</v>
      </c>
      <c r="B485" s="19" t="n">
        <v>321</v>
      </c>
      <c r="C485" s="19"/>
      <c r="D485" s="10" t="s">
        <v>2358</v>
      </c>
    </row>
    <row r="486" customFormat="false" ht="15" hidden="false" customHeight="false" outlineLevel="0" collapsed="false">
      <c r="A486" s="10" t="s">
        <v>2831</v>
      </c>
      <c r="B486" s="19" t="n">
        <v>320</v>
      </c>
      <c r="C486" s="19"/>
      <c r="D486" s="10" t="s">
        <v>2358</v>
      </c>
    </row>
    <row r="487" customFormat="false" ht="15" hidden="false" customHeight="false" outlineLevel="0" collapsed="false">
      <c r="A487" s="10" t="s">
        <v>2832</v>
      </c>
      <c r="B487" s="19" t="n">
        <v>319</v>
      </c>
      <c r="C487" s="19"/>
      <c r="D487" s="10" t="s">
        <v>2358</v>
      </c>
    </row>
    <row r="488" customFormat="false" ht="15" hidden="false" customHeight="false" outlineLevel="0" collapsed="false">
      <c r="A488" s="10" t="s">
        <v>2833</v>
      </c>
      <c r="B488" s="19" t="n">
        <v>316</v>
      </c>
      <c r="C488" s="19"/>
      <c r="D488" s="10" t="s">
        <v>2358</v>
      </c>
    </row>
    <row r="489" customFormat="false" ht="15" hidden="false" customHeight="false" outlineLevel="0" collapsed="false">
      <c r="A489" s="10" t="s">
        <v>2834</v>
      </c>
      <c r="B489" s="19" t="n">
        <v>310</v>
      </c>
      <c r="C489" s="19"/>
      <c r="D489" s="10" t="s">
        <v>2358</v>
      </c>
    </row>
    <row r="490" customFormat="false" ht="15" hidden="false" customHeight="false" outlineLevel="0" collapsed="false">
      <c r="A490" s="10" t="s">
        <v>2835</v>
      </c>
      <c r="B490" s="19" t="n">
        <v>308</v>
      </c>
      <c r="C490" s="19"/>
      <c r="D490" s="10" t="s">
        <v>2358</v>
      </c>
    </row>
    <row r="491" customFormat="false" ht="15" hidden="false" customHeight="false" outlineLevel="0" collapsed="false">
      <c r="A491" s="10" t="s">
        <v>2836</v>
      </c>
      <c r="B491" s="19" t="n">
        <v>306</v>
      </c>
      <c r="C491" s="19"/>
      <c r="D491" s="10" t="s">
        <v>2358</v>
      </c>
    </row>
    <row r="492" customFormat="false" ht="15" hidden="false" customHeight="false" outlineLevel="0" collapsed="false">
      <c r="A492" s="10" t="s">
        <v>2837</v>
      </c>
      <c r="B492" s="19" t="n">
        <v>306</v>
      </c>
      <c r="C492" s="19"/>
      <c r="D492" s="10" t="s">
        <v>2358</v>
      </c>
    </row>
    <row r="493" customFormat="false" ht="15" hidden="false" customHeight="false" outlineLevel="0" collapsed="false">
      <c r="A493" s="10" t="s">
        <v>2838</v>
      </c>
      <c r="B493" s="19" t="n">
        <v>305</v>
      </c>
      <c r="C493" s="19"/>
      <c r="D493" s="10" t="s">
        <v>2358</v>
      </c>
    </row>
    <row r="494" customFormat="false" ht="15" hidden="false" customHeight="false" outlineLevel="0" collapsed="false">
      <c r="A494" s="10" t="s">
        <v>2839</v>
      </c>
      <c r="B494" s="19" t="n">
        <v>304</v>
      </c>
      <c r="C494" s="19"/>
      <c r="D494" s="10" t="s">
        <v>2358</v>
      </c>
    </row>
    <row r="495" customFormat="false" ht="15" hidden="false" customHeight="false" outlineLevel="0" collapsed="false">
      <c r="A495" s="10" t="s">
        <v>2840</v>
      </c>
      <c r="B495" s="19" t="n">
        <v>303</v>
      </c>
      <c r="C495" s="19"/>
      <c r="D495" s="10" t="s">
        <v>2358</v>
      </c>
    </row>
    <row r="496" customFormat="false" ht="15" hidden="false" customHeight="false" outlineLevel="0" collapsed="false">
      <c r="A496" s="10" t="s">
        <v>2841</v>
      </c>
      <c r="B496" s="19" t="n">
        <v>302</v>
      </c>
      <c r="C496" s="19"/>
      <c r="D496" s="10" t="s">
        <v>2358</v>
      </c>
    </row>
    <row r="497" customFormat="false" ht="15" hidden="false" customHeight="false" outlineLevel="0" collapsed="false">
      <c r="A497" s="10" t="s">
        <v>2842</v>
      </c>
      <c r="B497" s="19" t="n">
        <v>302</v>
      </c>
      <c r="C497" s="19"/>
      <c r="D497" s="10" t="s">
        <v>2358</v>
      </c>
    </row>
    <row r="498" customFormat="false" ht="15" hidden="false" customHeight="false" outlineLevel="0" collapsed="false">
      <c r="A498" s="10" t="s">
        <v>2843</v>
      </c>
      <c r="B498" s="19" t="n">
        <v>301</v>
      </c>
      <c r="C498" s="19"/>
      <c r="D498" s="10" t="s">
        <v>2358</v>
      </c>
    </row>
    <row r="499" customFormat="false" ht="15" hidden="false" customHeight="false" outlineLevel="0" collapsed="false">
      <c r="A499" s="10" t="s">
        <v>2844</v>
      </c>
      <c r="B499" s="19" t="n">
        <v>301</v>
      </c>
      <c r="C499" s="19"/>
      <c r="D499" s="10" t="s">
        <v>2358</v>
      </c>
    </row>
    <row r="500" customFormat="false" ht="15" hidden="false" customHeight="false" outlineLevel="0" collapsed="false">
      <c r="A500" s="10" t="s">
        <v>2845</v>
      </c>
      <c r="B500" s="19" t="n">
        <v>301</v>
      </c>
      <c r="C500" s="19"/>
      <c r="D500" s="10" t="s">
        <v>2358</v>
      </c>
    </row>
    <row r="501" customFormat="false" ht="15" hidden="false" customHeight="false" outlineLevel="0" collapsed="false">
      <c r="A501" s="10" t="s">
        <v>2846</v>
      </c>
      <c r="B501" s="19" t="n">
        <v>301</v>
      </c>
      <c r="C501" s="19"/>
      <c r="D501" s="10" t="s">
        <v>2358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2026-10-09T16:50:12Z</dcterms:created>
  <dc:creator>openpyxl</dc:creator>
  <dc:description/>
  <dc:language>en-US</dc:language>
  <cp:lastModifiedBy/>
  <dcterms:modified xsi:type="dcterms:W3CDTF">2026-10-09T16:50:13Z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